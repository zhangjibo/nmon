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7430" codeName="{1563B04E-AB91-75FE-B8BC-B18F01832D57}"/>
  <workbookPr codeName="ThisWorkbook" autoCompressPictures="0"/>
  <bookViews>
    <workbookView xWindow="0" yWindow="0" windowWidth="21360" windowHeight="9600"/>
  </bookViews>
  <sheets>
    <sheet name="Analyser" sheetId="1" r:id="rId1"/>
    <sheet name="Settings" sheetId="2" r:id="rId2"/>
    <sheet name="Release Notes" sheetId="3" r:id="rId3"/>
  </sheets>
  <definedNames>
    <definedName name="BBBFont">Settings!$B$6</definedName>
    <definedName name="BIGDATA">Analyser!$B$16</definedName>
    <definedName name="BIGLINES">Analyser!$B$16</definedName>
    <definedName name="COPIES">Settings!$B$20</definedName>
    <definedName name="CPUmax">Settings!$B$10</definedName>
    <definedName name="DELIM">Settings!$B$28</definedName>
    <definedName name="DISKSORT">Analyser!#REF!</definedName>
    <definedName name="ESSanal">Analyser!$B$17</definedName>
    <definedName name="FILELIST">Analyser!$B$21</definedName>
    <definedName name="FIRST">Analyser!$B$11</definedName>
    <definedName name="FIRSTTIME">Analyser!$B$12</definedName>
    <definedName name="GHEIGHT">Settings!$D$7</definedName>
    <definedName name="GRAPHS">Analyser!$B$10</definedName>
    <definedName name="GWIDTH">Settings!$B$7</definedName>
    <definedName name="LAST">Analyser!$C$11</definedName>
    <definedName name="LASTTIME">Analyser!$C$12</definedName>
    <definedName name="LIST">Settings!$B$8</definedName>
    <definedName name="LSCAPE">Settings!$D$20</definedName>
    <definedName name="MERGE">Analyser!$B$13</definedName>
    <definedName name="NOLIST">Settings!$B$9</definedName>
    <definedName name="NOTOP">Analyser!$C$13</definedName>
    <definedName name="OUTDIR">Settings!$B$3</definedName>
    <definedName name="OUTPUT">Analyser!$C$10</definedName>
    <definedName name="PIVOT">Analyser!$B$14</definedName>
    <definedName name="PivotParms">Settings!$C$18:$H$18</definedName>
    <definedName name="PNG">Settings!$B$24</definedName>
    <definedName name="PRINTER">Settings!$B$21</definedName>
    <definedName name="REORDER">Settings!$B$11</definedName>
    <definedName name="REPROC">Settings!$B$2</definedName>
    <definedName name="SCATTER">Analyser!$B$15</definedName>
    <definedName name="SHOWLINUXCPUUTIL">Analyser!$B$20</definedName>
    <definedName name="SHOWMACPROGRESS">Analyser!$B$19</definedName>
    <definedName name="SORTDEFAULT">Settings!$B$14</definedName>
    <definedName name="SortInp">Settings!$B$29</definedName>
    <definedName name="SUBDIR">Settings!$D$24</definedName>
    <definedName name="SYNCAXIS">Analyser!$B$18</definedName>
    <definedName name="TOPDISKS">Settings!$B$12</definedName>
    <definedName name="WEBDIR">Settings!$B$25</definedName>
    <definedName name="xToD">Settings!$B$13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" i="2" l="1"/>
  <c r="B58" i="1"/>
  <c r="B59" i="1"/>
  <c r="B60" i="1"/>
</calcChain>
</file>

<file path=xl/sharedStrings.xml><?xml version="1.0" encoding="utf-8"?>
<sst xmlns="http://schemas.openxmlformats.org/spreadsheetml/2006/main" count="256" uniqueCount="196">
  <si>
    <t>,</t>
  </si>
  <si>
    <t>BBBFont</t>
  </si>
  <si>
    <t>Courier</t>
  </si>
  <si>
    <t>Name of fixed pitch font used for formatting BBB sheets</t>
  </si>
  <si>
    <t>Notes</t>
  </si>
  <si>
    <t>YES</t>
  </si>
  <si>
    <t>REORDER</t>
  </si>
  <si>
    <t>NO</t>
  </si>
  <si>
    <t>Max. number of hdisks/vpaths to appear on graphs - set to 0 for all hdisks</t>
  </si>
  <si>
    <t>FILELIST</t>
  </si>
  <si>
    <t>Name of file containing a list of nmon files to be processed (blank = dialog)</t>
  </si>
  <si>
    <t>TOPDISKS</t>
  </si>
  <si>
    <t>OUTDIR</t>
  </si>
  <si>
    <t>Directory in which to store output files (blank = same as input file)</t>
  </si>
  <si>
    <t>LSCAPE</t>
  </si>
  <si>
    <t>GWIDTH</t>
  </si>
  <si>
    <t>GHEIGHT</t>
  </si>
  <si>
    <t>National Language Settings</t>
  </si>
  <si>
    <t>Formatting</t>
  </si>
  <si>
    <t>Batch</t>
  </si>
  <si>
    <t>REPROC</t>
  </si>
  <si>
    <t>Graph width and height in points (set to 0 for dynamic sizing)</t>
  </si>
  <si>
    <t>Set to NO to disable reordering of sheets after analysis</t>
  </si>
  <si>
    <t>INTERVALS</t>
  </si>
  <si>
    <t>PRINTER</t>
  </si>
  <si>
    <t>COPIES</t>
  </si>
  <si>
    <t>Printing</t>
  </si>
  <si>
    <t>GRAPHS</t>
  </si>
  <si>
    <t>LIST</t>
  </si>
  <si>
    <t>Web</t>
  </si>
  <si>
    <t>WEBDIR</t>
  </si>
  <si>
    <t>Directory in which to store HTML files (blank = same as input file)</t>
  </si>
  <si>
    <t>PNG</t>
  </si>
  <si>
    <t>SUBDIR</t>
  </si>
  <si>
    <t>PREVIEW</t>
  </si>
  <si>
    <t>Set to DEFAULT or specify a printer name for batch operation</t>
  </si>
  <si>
    <t>Set SUBDIR to NO to get PNG/GIF files into the same directory as main HTM file</t>
  </si>
  <si>
    <t>XToD</t>
  </si>
  <si>
    <t>Format for x-Axis on Time-of-Day graphs - can include date (e.g. dd-mmm-yy)</t>
  </si>
  <si>
    <t>NOLIST</t>
  </si>
  <si>
    <t>MERGE</t>
  </si>
  <si>
    <t>PIVOT</t>
  </si>
  <si>
    <t>TOP</t>
  </si>
  <si>
    <t>Command</t>
  </si>
  <si>
    <t>Time</t>
  </si>
  <si>
    <t>SUM</t>
  </si>
  <si>
    <t>1.</t>
  </si>
  <si>
    <t>2.</t>
  </si>
  <si>
    <t>3.</t>
  </si>
  <si>
    <t>4.</t>
  </si>
  <si>
    <t>Pivot Chart</t>
  </si>
  <si>
    <t>Specify #copies and whether to print using Landscape page orientation</t>
  </si>
  <si>
    <t>Specify YES to generate a Pivot chart using the parameters on the Settings sheet</t>
  </si>
  <si>
    <t>Specify output option for generated graphs (see user guide)</t>
  </si>
  <si>
    <t>SHEET</t>
  </si>
  <si>
    <t>PAGE</t>
  </si>
  <si>
    <t>ROW</t>
  </si>
  <si>
    <t>COLUMN</t>
  </si>
  <si>
    <t>DATA</t>
  </si>
  <si>
    <t>FUNCTION</t>
  </si>
  <si>
    <t>NOTOP</t>
  </si>
  <si>
    <t>hh:mm</t>
  </si>
  <si>
    <t>Specify parameters for the Pivot chart (default settings require the UARG sheet to be present)</t>
  </si>
  <si>
    <t>IntervalCPU%</t>
  </si>
  <si>
    <t>PID</t>
  </si>
  <si>
    <t xml:space="preserve">Set to NO to prevent reprocessing of files in multi-file mode </t>
  </si>
  <si>
    <t>DELIM</t>
  </si>
  <si>
    <t>Delimiter used in .csv file (see Note 1)</t>
  </si>
  <si>
    <t>1. This is only provided for backwards compatibilty with files that have been converted using nmon2csv - set to ";" if required</t>
  </si>
  <si>
    <t>Specify YES to merge the input files and TOP if you want to merge the TOP and UARG sections</t>
  </si>
  <si>
    <t>Set to DELETE to delete all sheets that are not in LIST above</t>
  </si>
  <si>
    <t>ESS</t>
  </si>
  <si>
    <t>Output</t>
  </si>
  <si>
    <t>Set to NO to prevent additional ESS analysis (conserves memory)</t>
  </si>
  <si>
    <t>Avg.</t>
  </si>
  <si>
    <t>WAvg.</t>
  </si>
  <si>
    <t>Max.</t>
  </si>
  <si>
    <t xml:space="preserve">5. </t>
  </si>
  <si>
    <t>Improved support for Excel 2007 and 2010</t>
  </si>
  <si>
    <t>Support for 64-bit Windows</t>
  </si>
  <si>
    <t>Fix a bug with the MERGE option</t>
  </si>
  <si>
    <t>Add graphs for the PCPU and SCPU sheets</t>
  </si>
  <si>
    <t xml:space="preserve">6.   </t>
  </si>
  <si>
    <t>Limit the overall number of CPU, PCPU and SCPU sheets generated</t>
  </si>
  <si>
    <t>The maximum number of CPU sheets tabs to create - set to zero for optimum</t>
  </si>
  <si>
    <t>CPUmax</t>
  </si>
  <si>
    <t xml:space="preserve">Wildcard support in LIST </t>
  </si>
  <si>
    <t>7.</t>
  </si>
  <si>
    <t>Correct handling of the DISKRXFER sheet</t>
  </si>
  <si>
    <t>8.</t>
  </si>
  <si>
    <t>FIRST and LAST time intervals to process</t>
  </si>
  <si>
    <t>TIMES</t>
  </si>
  <si>
    <t>Ability to specify time values instead of interval numbers</t>
  </si>
  <si>
    <t>FIRST and LAST time values to process (note - overrides INTERVALS settings) - see User Guide for details</t>
  </si>
  <si>
    <t>9.</t>
  </si>
  <si>
    <t>CPU_SUMM, DISK_SUMM and SYS_SUMM automatically added to LIST</t>
  </si>
  <si>
    <t>Ron McCargar (mccargar@us.ibm.com)</t>
  </si>
  <si>
    <t>V3.4 a:</t>
  </si>
  <si>
    <t>V3.5:</t>
  </si>
  <si>
    <t>SCATTER</t>
  </si>
  <si>
    <t>Indicates if Scatter charts shall be included.  Applies to TOP CPU% by PID chart only.  This option is to avoid Excel 2013 crash.</t>
  </si>
  <si>
    <t>Added SCATTER Output option (default NO) to avoid crash in Excel 2013 when building TOP CPU% by PID graph</t>
  </si>
  <si>
    <t>V3.5 a:</t>
  </si>
  <si>
    <t>Needed to remove and recreate the Analyze nmon data button and also fixed a possible error when opening the spreadsheet related to the FILELIST parameter</t>
  </si>
  <si>
    <t>V3.5 b:</t>
  </si>
  <si>
    <t>CPU_ALL,DISKBUSY,ESS*,EMC*,FAST*,LPAR,MEM*,NET,PAGE,PROC,TOP</t>
  </si>
  <si>
    <t>Fixed a bug if using the GRAPHS LIST - PICTURES option, the script would fail if LIST did not contain ZZZZ and NOLIST = DELETE.</t>
  </si>
  <si>
    <t>When using Excel 2013 with the GRAPHS - PICTURES option added error handling in OutputPics function to avoid a possible failure when determining the last row in the Charts sheet.</t>
  </si>
  <si>
    <t>ALL</t>
  </si>
  <si>
    <t>CHARTS</t>
  </si>
  <si>
    <t>KEEP</t>
  </si>
  <si>
    <t>V3.5c:</t>
  </si>
  <si>
    <t>Made changes to increase the ability to handle files with large amounts of data (both rows or columns)</t>
  </si>
  <si>
    <t>Max size allowed for any line of nmon import data is now 32K</t>
  </si>
  <si>
    <t>5.</t>
  </si>
  <si>
    <t xml:space="preserve">Max columns has increased from 255 to 1450.  This mostly applies to NPIV and SEALICTRAFFIC sheets.  </t>
  </si>
  <si>
    <t>6.</t>
  </si>
  <si>
    <t>NPIV header was incorrectly shown at the bottom of the sheet previously.</t>
  </si>
  <si>
    <t>NPIV and SEALICTRAFFIC sheets will no longer show any graphs (due to potential huge size.)</t>
  </si>
  <si>
    <t xml:space="preserve"> Please Note: This increase will also slow down the parsing time and memory requirements considerably in some cases.</t>
  </si>
  <si>
    <t>V3.5d:</t>
  </si>
  <si>
    <t>Fixed several errors due to the increase in the number of columns.  If the files contained certain types of data (IP, LAN), then the analysis would fail.</t>
  </si>
  <si>
    <t>Analysis is faster now and supports any number of columns up to the Excel maximum of 16684.  On large data sets (&gt; 10 MB) you most likely will require 64-bit Windows however and a minimum of 8 GB of RAM.</t>
  </si>
  <si>
    <t>V3.5e:</t>
  </si>
  <si>
    <t xml:space="preserve">Updated nmon analyzer to check for either hdiskpower, emcpower or just power when determining if EMC data is present. </t>
  </si>
  <si>
    <t>V4.0</t>
  </si>
  <si>
    <t>The previous version did not work with Excel 2007 or Excel 2010.</t>
  </si>
  <si>
    <t xml:space="preserve">2. </t>
  </si>
  <si>
    <t>BIGDATA</t>
  </si>
  <si>
    <t>Added a new option on the Analyser sheet called BIGDATA.  Use this if you have large lines or &gt; 1048576 rows.</t>
  </si>
  <si>
    <t>3,</t>
  </si>
  <si>
    <t xml:space="preserve">The analyzer would fail on Excel 2007 if &gt; 1048576 rows were encountered.  Use BIGDATA=YES.   </t>
  </si>
  <si>
    <t>The maximum allowed rows per .nmon file is now unlimited (based on available Excel/PC memory)</t>
  </si>
  <si>
    <t>The elapsed time value produced on AAA was incorrect previously.  It did not include the time to open the file(s) and sort the data.</t>
  </si>
  <si>
    <t>Set to YES if your data has &gt; 1048576 rows or large lines (up to 32K.)  Set this to NO to improve performance but the Analyzer will fail if a large line is encountered and data will also be truncated at 1048576 rows.</t>
  </si>
  <si>
    <t>The SORTINP setting has been removed.  Data is now always sorted.</t>
  </si>
  <si>
    <t>Max rows has increased from 65536 per sheet to 1048576</t>
  </si>
  <si>
    <t>On the SYS_SUMM sheet added the following additional fields from the LPAR tab (it it exists):  Other LPARs, Pool CPUs, Entitled, Weight</t>
  </si>
  <si>
    <t xml:space="preserve">On the SYS_SUMM sheet the CPU% values were wrong and have been changed to the sum of users% + Sys% for each line.  </t>
  </si>
  <si>
    <t>On the LPAR tab the 1st and 3rd graphs showed incorrect values.</t>
  </si>
  <si>
    <t>V4.0a</t>
  </si>
  <si>
    <t>The EMC check problem caused the disk graphs showing Avg, Wavg, Max to not be sorted with the highest Avg + Wavg first.</t>
  </si>
  <si>
    <t>Many additional sheets now have their Avg, Wavg, Max graphs sorted with the highest Avg + Wavg first (FC*, etc)</t>
  </si>
  <si>
    <t>Support for checking for EMC/PowerPath disks was broken.  The EMC graphs are available again.</t>
  </si>
  <si>
    <t>V4.1</t>
  </si>
  <si>
    <t>On the LPAR sheet on the 1st graph the Unfolded VPs value was incorrectly removed.</t>
  </si>
  <si>
    <t>V4.2</t>
  </si>
  <si>
    <t>On the LPAR sheet the last graph was not showing all values (other lpars, pool idle) like it should have been.</t>
  </si>
  <si>
    <t>V4.3</t>
  </si>
  <si>
    <t>SORTDEFAULT</t>
  </si>
  <si>
    <r>
      <t xml:space="preserve">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</rPr>
      <t xml:space="preserve"> If Yes, this will also reorder the columns. </t>
    </r>
  </si>
  <si>
    <r>
      <t xml:space="preserve">Added a new setting called SORTDEFAULT.  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</rPr>
      <t xml:space="preserve"> If Yes, this will also reorder the columns. </t>
    </r>
  </si>
  <si>
    <t>Added support for the CPU_ALL, CPUnnn Steal% column that is being added to nmon for Linux.</t>
  </si>
  <si>
    <t>V4.4</t>
  </si>
  <si>
    <t>If the nmon data contained ERROR tags, the resulting ERROR sheet would incorrectly list thousands of columns at the end containing 'N/A'</t>
  </si>
  <si>
    <t>V4.5</t>
  </si>
  <si>
    <t xml:space="preserve">On the SYS_SUMM sheet if the LPAR sheet exists, the CPU% column will be now what it was back with analyzer version 3.4a or Avg CPU% "=M4/LPAR!C2*100."  and Max CPU% = "=M4/LPAR!C2*100.".   </t>
  </si>
  <si>
    <t>V4.5a</t>
  </si>
  <si>
    <t>If the LPAR sheet didn't exist, then SYS_SUMM graph would not display CPU% as expected.</t>
  </si>
  <si>
    <t>V4.5b</t>
  </si>
  <si>
    <t>If the SORTDEFAULT setting was set to YES then sheets like NETPACKET would incorrectly display a SortKey value on the graph.</t>
  </si>
  <si>
    <t>V4.6</t>
  </si>
  <si>
    <t>If an INTERVAL range was specified the CPU_SUMM sheet would contain no data.</t>
  </si>
  <si>
    <t>V4.7</t>
  </si>
  <si>
    <t>Added a check for Power 8 and SMT mode 8.  In previous versions no check exists which defaults the number of CPUs shown to 2 on the CPU_SUMM sheet.</t>
  </si>
  <si>
    <t xml:space="preserve">4. </t>
  </si>
  <si>
    <t>In ProcessFile() added a check for EOF before doing the import to possibly avoid an error.</t>
  </si>
  <si>
    <t>Enabling PIVOT charts would crash the analyzer on Excel 2010 and higher and has been fixed.   (Analyser - PIVOT = YES)</t>
  </si>
  <si>
    <t>SYNCAXIS</t>
  </si>
  <si>
    <t>On graphs that show Avg/Wavg on Y1 and Min/Max on Y2 the Maximum scales will be set to the same value</t>
  </si>
  <si>
    <t>Graphs that show Avg/Wavg/Max will now show Avg/Wavg on the Y1 axis and Min/Max as lines on the Y2 axis.  Also if the Analyzer Output option SyncAxis is YES then the Y1 and Y2 maximum scale values will be the same.</t>
  </si>
  <si>
    <t xml:space="preserve">6. </t>
  </si>
  <si>
    <t xml:space="preserve">Several graphs were not sorted previously based on the Analyser's Settings - SORTDEFAULT value but are now. </t>
  </si>
  <si>
    <t>On the Analyser's Settings - DELIM value the user can now specify any value desired.</t>
  </si>
  <si>
    <t>Added On Error Resume Next in a few spots in order to be better able to analyze huge data sets without failing prematurely.</t>
  </si>
  <si>
    <t>On the AAA sheet renamed the "elapsed" value given to "Analysis time" (the elapsed time it took Excel to analyze the nmon file)</t>
  </si>
  <si>
    <t>SHOWMACPROGRESS</t>
  </si>
  <si>
    <t>On a MAC refreshing the screen to show progress in status bar will make things 3 to 5 times slower!</t>
  </si>
  <si>
    <t>Added support to run nmon Analyzer on a Mac with Excel 2011 or higher.  Please note the following limitations:  Pivot charts don't work, Merge option doesn't work.</t>
  </si>
  <si>
    <t>SHOWLINUXCPUUTIL</t>
  </si>
  <si>
    <t>When analyzing Linux data a value of YES indicates that all of the CPUUTILnnn sheets will be included.  CPUUTIL_ALL will always be included.</t>
  </si>
  <si>
    <t>Added new options SHOWMACPROGRESS and SHOWLINUXCPUUTIL</t>
  </si>
  <si>
    <t>V5.01</t>
  </si>
  <si>
    <t>V5.02</t>
  </si>
  <si>
    <t>Fixed a problem when trying to import very large .nmon files it may fail.</t>
  </si>
  <si>
    <t>Added extra checking for garbage lines that could stop the analyzer from completing the import.</t>
  </si>
  <si>
    <t>V5.03</t>
  </si>
  <si>
    <t>If importing multiple .nmon files that contain multiple "AAA,x86," records popup errors would be shown to the user.</t>
  </si>
  <si>
    <t>V5.04</t>
  </si>
  <si>
    <t>The default save format used on a Mac may not have been set correctly in some cases.</t>
  </si>
  <si>
    <t>V5.05</t>
  </si>
  <si>
    <t>The Avg and Max CPU% on the SYS_SUMM column was being calculated incorrectly.</t>
  </si>
  <si>
    <t>V5.1</t>
  </si>
  <si>
    <t>If Merge = Yes then the 1st files data would appear twice incorrectly.</t>
  </si>
  <si>
    <t>Fix issues when running on a Mac with Excel 2016</t>
  </si>
  <si>
    <t>V5.12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</si>
</sst>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39"/>
      <name val="Arial"/>
      <family val="2"/>
    </font>
    <font>
      <sz val="10"/>
      <color indexed="48"/>
      <name val="Arial"/>
      <family val="2"/>
    </font>
    <font>
      <sz val="10"/>
      <color indexed="12"/>
      <name val="Courier"/>
      <family val="3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color indexed="12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5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 applyAlignment="1" applyProtection="1">
      <alignment horizontal="center"/>
      <protection locked="0"/>
    </xf>
    <xf numFmtId="1" fontId="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15" fontId="2" fillId="0" borderId="0" xfId="0" applyNumberFormat="1" applyFont="1"/>
    <xf numFmtId="0" fontId="5" fillId="0" borderId="0" xfId="0" applyFont="1" applyAlignment="1">
      <alignment horizontal="left"/>
    </xf>
    <xf numFmtId="0" fontId="0" fillId="0" borderId="0" xfId="0" applyNumberFormat="1"/>
    <xf numFmtId="0" fontId="5" fillId="0" borderId="0" xfId="0" applyNumberFormat="1" applyFont="1"/>
    <xf numFmtId="0" fontId="0" fillId="0" borderId="0" xfId="0" applyAlignment="1">
      <alignment horizontal="left"/>
    </xf>
    <xf numFmtId="0" fontId="6" fillId="0" borderId="0" xfId="0" applyFont="1" applyAlignment="1" applyProtection="1">
      <alignment horizontal="center"/>
      <protection locked="0"/>
    </xf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 applyProtection="1">
      <alignment horizontal="center"/>
      <protection locked="0"/>
    </xf>
    <xf numFmtId="0" fontId="1" fillId="0" borderId="0" xfId="0" applyFont="1"/>
    <xf numFmtId="0" fontId="7" fillId="0" borderId="0" xfId="0" applyNumberFormat="1" applyFont="1" applyAlignment="1">
      <alignment horizontal="left"/>
    </xf>
    <xf numFmtId="0" fontId="7" fillId="0" borderId="0" xfId="0" applyFont="1" applyFill="1" applyAlignment="1" applyProtection="1">
      <alignment horizontal="center"/>
      <protection locked="0"/>
    </xf>
    <xf numFmtId="21" fontId="7" fillId="0" borderId="0" xfId="0" applyNumberFormat="1" applyFont="1" applyFill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NumberFormat="1" applyAlignment="1">
      <alignment horizontal="left"/>
    </xf>
    <xf numFmtId="49" fontId="0" fillId="0" borderId="0" xfId="0" applyNumberFormat="1"/>
    <xf numFmtId="0" fontId="9" fillId="0" borderId="0" xfId="0" applyFont="1" applyAlignment="1"/>
    <xf numFmtId="49" fontId="2" fillId="0" borderId="0" xfId="0" applyNumberFormat="1" applyFont="1"/>
    <xf numFmtId="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 applyAlignment="1"/>
    <xf numFmtId="0" fontId="7" fillId="0" borderId="0" xfId="0" applyFont="1" applyFill="1" applyAlignment="1"/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2" fillId="0" borderId="0" xfId="0" applyFont="1" applyFill="1"/>
    <xf numFmtId="0" fontId="7" fillId="0" borderId="0" xfId="0" applyFont="1" applyAlignment="1">
      <alignment horizontal="left"/>
    </xf>
    <xf numFmtId="21" fontId="4" fillId="0" borderId="0" xfId="0" applyNumberFormat="1" applyFont="1" applyAlignment="1" applyProtection="1">
      <alignment horizontal="center" vertical="center"/>
      <protection locked="0"/>
    </xf>
    <xf numFmtId="0" fontId="7" fillId="0" borderId="0" xfId="0" applyNumberFormat="1" applyFont="1" applyAlignment="1" applyProtection="1">
      <alignment horizontal="center"/>
      <protection locked="0"/>
    </xf>
    <xf numFmtId="0" fontId="4" fillId="0" borderId="0" xfId="0" applyNumberFormat="1" applyFont="1" applyAlignment="1" applyProtection="1">
      <alignment horizontal="center" vertical="center"/>
      <protection locked="0"/>
    </xf>
    <xf numFmtId="22" fontId="7" fillId="0" borderId="0" xfId="0" applyNumberFormat="1" applyFont="1" applyAlignment="1" applyProtection="1">
      <alignment horizontal="center"/>
      <protection locked="0"/>
    </xf>
    <xf numFmtId="49" fontId="3" fillId="0" borderId="0" xfId="0" applyNumberFormat="1" applyFont="1"/>
    <xf numFmtId="0" fontId="8" fillId="0" borderId="0" xfId="0" applyFont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Alignment="1">
      <alignment horizontal="center"/>
    </xf>
    <xf numFmtId="0" fontId="1" fillId="0" borderId="0" xfId="0" applyFont="1" applyFill="1"/>
    <xf numFmtId="49" fontId="1" fillId="0" borderId="0" xfId="0" applyNumberFormat="1" applyFont="1"/>
    <xf numFmtId="15" fontId="1" fillId="0" borderId="0" xfId="0" applyNumberFormat="1" applyFont="1"/>
    <xf numFmtId="0" fontId="0" fillId="0" borderId="0" xfId="0" applyFont="1"/>
    <xf numFmtId="0" fontId="2" fillId="0" borderId="0" xfId="0" applyFont="1" applyAlignment="1"/>
    <xf numFmtId="0" fontId="4" fillId="0" borderId="0" xfId="0" applyFont="1" applyAlignment="1" applyProtection="1">
      <protection locked="0"/>
    </xf>
    <xf numFmtId="0" fontId="0" fillId="0" borderId="0" xfId="0" applyAlignment="1"/>
    <xf numFmtId="0" fontId="8" fillId="0" borderId="0" xfId="0" applyFont="1" applyAlignment="1" applyProtection="1">
      <alignment horizontal="left"/>
      <protection locked="0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0.03333333333333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385285817838146"/>
          <c:y val="0.169236331197039"/>
          <c:w val="0.885301190321429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BB0-4829-8D9D-321FB8AC15E5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BB0-4829-8D9D-321FB8AC15E5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BB0-4829-8D9D-321FB8AC15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6720904"/>
        <c:axId val="2116724312"/>
      </c:barChart>
      <c:catAx>
        <c:axId val="2116720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724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167243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72090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"/>
          <c:w val="0.0505152516721125"/>
          <c:h val="0.1692363311970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.0" l="0.75000000000001" r="0.75000000000001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0.03333333333333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385285817838146"/>
          <c:y val="0.169236331197039"/>
          <c:w val="0.885301190321429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DF8-477A-B898-CE479FD655F9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DF8-477A-B898-CE479FD655F9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DF8-477A-B898-CE479FD65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6769496"/>
        <c:axId val="2116772904"/>
      </c:barChart>
      <c:catAx>
        <c:axId val="2116769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77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1677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7694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"/>
          <c:w val="0.0505152516721125"/>
          <c:h val="0.1692363311970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.0" l="0.75000000000001" r="0.75000000000001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0.03333333333333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385285817838146"/>
          <c:y val="0.169236331197039"/>
          <c:w val="0.885301190321429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C89-492B-A6EF-229A20DB997B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C89-492B-A6EF-229A20DB997B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6C89-492B-A6EF-229A20DB9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6814840"/>
        <c:axId val="2116818248"/>
      </c:barChart>
      <c:catAx>
        <c:axId val="2116814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818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168182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8148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"/>
          <c:w val="0.0505152516721125"/>
          <c:h val="0.1692363311970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.0" l="0.75000000000001" r="0.75000000000001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5"/>
          <c:y val="0.03333333333333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402409631964286"/>
          <c:y val="0.166672144360714"/>
          <c:w val="0.883588808908815"/>
          <c:h val="0.707715566823955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27.99599999999989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65A-4756-9CA4-B1E0F877D194}"/>
            </c:ext>
          </c:extLst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343.965065866552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65A-4756-9CA4-B1E0F877D194}"/>
            </c:ext>
          </c:extLst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320.938934133447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65A-4756-9CA4-B1E0F877D1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6858728"/>
        <c:axId val="2116862136"/>
      </c:barChart>
      <c:catAx>
        <c:axId val="2116858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86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168621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8587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"/>
          <c:w val="0.0505152516721125"/>
          <c:h val="0.1692363311970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.0" l="0.75000000000001" r="0.75000000000001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5"/>
          <c:y val="0.03333333333333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402409631964286"/>
          <c:y val="0.166672144360714"/>
          <c:w val="0.883588808908815"/>
          <c:h val="0.707715566823955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27.99599999999989</c:v>
              </c:pt>
              <c:pt idx="1">
                <c:v>64.1919999999999</c:v>
              </c:pt>
              <c:pt idx="2">
                <c:v>5.971999999999992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9F9-43FC-9CE0-7C452B04F84B}"/>
            </c:ext>
          </c:extLst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343.965065866552</c:v>
              </c:pt>
              <c:pt idx="1">
                <c:v>532.2242450149545</c:v>
              </c:pt>
              <c:pt idx="2">
                <c:v>11.2519115874079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9F9-43FC-9CE0-7C452B04F84B}"/>
            </c:ext>
          </c:extLst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320.938934133447</c:v>
              </c:pt>
              <c:pt idx="1">
                <c:v>211.383754985044</c:v>
              </c:pt>
              <c:pt idx="2">
                <c:v>21.17608841259234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9F9-43FC-9CE0-7C452B04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6902072"/>
        <c:axId val="2116905480"/>
      </c:barChart>
      <c:catAx>
        <c:axId val="2116902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905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169054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690207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"/>
          <c:w val="0.0505152516721125"/>
          <c:h val="0.1692363311970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.0" l="0.75000000000001" r="0.75000000000001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7" name="Chart 8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8" name="Chart 8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9" name="Chart 8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30" name="Chart 8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31" name="Chart 8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</xdr:colOff>
          <xdr:row>3</xdr:row>
          <xdr:rowOff>0</xdr:rowOff>
        </xdr:from>
        <xdr:to>
          <xdr:col>6</xdr:col>
          <xdr:colOff>279400</xdr:colOff>
          <xdr:row>5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Analyze nmon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O410"/>
  <sheetViews>
    <sheetView tabSelected="1" workbookViewId="0">
      <selection activeCell="C4" sqref="C4"/>
    </sheetView>
  </sheetViews>
  <sheetFormatPr baseColWidth="10" defaultColWidth="8.83203125" defaultRowHeight="12" x14ac:dyDescent="0"/>
  <cols>
    <col min="1" max="1" width="22.33203125" customWidth="1"/>
    <col min="2" max="2" width="23.33203125" style="14" customWidth="1"/>
    <col min="3" max="3" width="23.33203125" customWidth="1"/>
    <col min="4" max="7" width="12" customWidth="1"/>
    <col min="15" max="15" width="9.6640625" style="11" customWidth="1"/>
  </cols>
  <sheetData>
    <row r="1" spans="1:11">
      <c r="A1" s="43" t="s">
        <v>195</v>
      </c>
      <c r="B1" s="45">
        <v>42649</v>
      </c>
      <c r="C1" s="6"/>
      <c r="D1" s="6"/>
      <c r="E1" s="6"/>
      <c r="F1" s="6"/>
      <c r="G1" s="6"/>
      <c r="H1" s="6"/>
      <c r="I1" s="6"/>
    </row>
    <row r="2" spans="1:11">
      <c r="A2" s="6"/>
      <c r="B2" s="18"/>
      <c r="C2" s="6"/>
      <c r="D2" s="6"/>
      <c r="E2" s="6"/>
      <c r="F2" s="6"/>
      <c r="G2" s="6"/>
      <c r="H2" s="6"/>
      <c r="I2" s="6"/>
    </row>
    <row r="3" spans="1:11">
      <c r="A3" s="6"/>
      <c r="B3" s="18"/>
      <c r="C3" s="6"/>
      <c r="D3" s="6"/>
      <c r="E3" s="6"/>
      <c r="F3" s="6"/>
      <c r="G3" s="6"/>
      <c r="H3" s="6"/>
      <c r="I3" s="6"/>
    </row>
    <row r="4" spans="1:11">
      <c r="A4" s="6"/>
      <c r="B4" s="18"/>
      <c r="C4" s="6"/>
      <c r="D4" s="6"/>
      <c r="E4" s="6"/>
      <c r="F4" s="6"/>
      <c r="G4" s="6"/>
      <c r="H4" s="6"/>
      <c r="I4" s="6"/>
    </row>
    <row r="5" spans="1:11">
      <c r="A5" s="6"/>
      <c r="B5" s="18"/>
      <c r="C5" s="6"/>
      <c r="D5" s="6"/>
      <c r="E5" s="6"/>
      <c r="F5" s="6"/>
      <c r="G5" s="6"/>
      <c r="H5" s="6"/>
      <c r="I5" s="6"/>
    </row>
    <row r="6" spans="1:11">
      <c r="A6" s="6"/>
      <c r="B6" s="18"/>
      <c r="C6" s="6"/>
      <c r="D6" s="6"/>
      <c r="E6" s="6"/>
      <c r="F6" s="6"/>
      <c r="G6" s="6"/>
      <c r="H6" s="6"/>
      <c r="I6" s="6"/>
      <c r="J6" s="6"/>
      <c r="K6" s="6"/>
    </row>
    <row r="7" spans="1:11">
      <c r="A7" s="6"/>
      <c r="B7" s="18"/>
      <c r="C7" s="6"/>
      <c r="D7" s="6"/>
      <c r="E7" s="6"/>
      <c r="F7" s="6"/>
      <c r="G7" s="6"/>
      <c r="H7" s="6"/>
      <c r="I7" s="6"/>
      <c r="J7" s="6"/>
      <c r="K7" s="6"/>
    </row>
    <row r="8" spans="1:11">
      <c r="A8" s="6"/>
      <c r="B8" s="18"/>
      <c r="C8" s="6"/>
      <c r="D8" s="6"/>
      <c r="E8" s="6"/>
      <c r="F8" s="6"/>
      <c r="G8" s="6"/>
      <c r="H8" s="6"/>
      <c r="I8" s="6"/>
      <c r="J8" s="6"/>
      <c r="K8" s="6"/>
    </row>
    <row r="9" spans="1:11">
      <c r="A9" s="33" t="s">
        <v>72</v>
      </c>
      <c r="B9" s="19"/>
      <c r="C9" s="6"/>
      <c r="D9" s="6"/>
      <c r="E9" s="6"/>
      <c r="F9" s="6"/>
      <c r="G9" s="6"/>
      <c r="H9" s="6"/>
      <c r="I9" s="6"/>
      <c r="J9" s="6"/>
      <c r="K9" s="6"/>
    </row>
    <row r="10" spans="1:11">
      <c r="A10" t="s">
        <v>27</v>
      </c>
      <c r="B10" s="20" t="s">
        <v>108</v>
      </c>
      <c r="C10" s="3" t="s">
        <v>109</v>
      </c>
      <c r="D10" t="s">
        <v>53</v>
      </c>
      <c r="H10" s="6"/>
      <c r="I10" s="6"/>
      <c r="J10" s="6"/>
      <c r="K10" s="6"/>
    </row>
    <row r="11" spans="1:11">
      <c r="A11" t="s">
        <v>23</v>
      </c>
      <c r="B11" s="36">
        <v>1</v>
      </c>
      <c r="C11" s="37">
        <v>999999</v>
      </c>
      <c r="D11" t="s">
        <v>90</v>
      </c>
      <c r="H11" s="6"/>
      <c r="I11" s="6"/>
      <c r="J11" s="6"/>
      <c r="K11" s="6"/>
    </row>
    <row r="12" spans="1:11">
      <c r="A12" t="s">
        <v>91</v>
      </c>
      <c r="B12" s="38"/>
      <c r="C12" s="35"/>
      <c r="D12" t="s">
        <v>93</v>
      </c>
      <c r="H12" s="6"/>
      <c r="I12" s="6"/>
      <c r="J12" s="6"/>
      <c r="K12" s="6"/>
    </row>
    <row r="13" spans="1:11">
      <c r="A13" t="s">
        <v>40</v>
      </c>
      <c r="B13" s="20" t="s">
        <v>7</v>
      </c>
      <c r="C13" s="3" t="s">
        <v>60</v>
      </c>
      <c r="D13" t="s">
        <v>69</v>
      </c>
      <c r="H13" s="6"/>
      <c r="I13" s="6"/>
      <c r="J13" s="6"/>
      <c r="K13" s="6"/>
    </row>
    <row r="14" spans="1:11">
      <c r="A14" t="s">
        <v>41</v>
      </c>
      <c r="B14" s="20" t="s">
        <v>5</v>
      </c>
      <c r="D14" t="s">
        <v>52</v>
      </c>
      <c r="I14" s="6"/>
      <c r="J14" s="6"/>
      <c r="K14" s="6"/>
    </row>
    <row r="15" spans="1:11">
      <c r="A15" s="2" t="s">
        <v>99</v>
      </c>
      <c r="B15" s="40" t="s">
        <v>5</v>
      </c>
      <c r="D15" s="16" t="s">
        <v>100</v>
      </c>
      <c r="H15" s="6"/>
      <c r="I15" s="6"/>
      <c r="J15" s="6"/>
      <c r="K15" s="6"/>
    </row>
    <row r="16" spans="1:11">
      <c r="A16" s="16" t="s">
        <v>128</v>
      </c>
      <c r="B16" s="14" t="s">
        <v>5</v>
      </c>
      <c r="D16" s="16" t="s">
        <v>134</v>
      </c>
      <c r="H16" s="6"/>
      <c r="I16" s="6"/>
      <c r="J16" s="6"/>
      <c r="K16" s="6"/>
    </row>
    <row r="17" spans="1:15">
      <c r="A17" t="s">
        <v>71</v>
      </c>
      <c r="B17" s="14" t="s">
        <v>5</v>
      </c>
      <c r="C17" s="14"/>
      <c r="D17" t="s">
        <v>73</v>
      </c>
      <c r="H17" s="6"/>
      <c r="I17" s="6"/>
      <c r="J17" s="6"/>
      <c r="K17" s="6"/>
    </row>
    <row r="18" spans="1:15">
      <c r="A18" s="16" t="s">
        <v>168</v>
      </c>
      <c r="B18" s="14" t="s">
        <v>5</v>
      </c>
      <c r="C18" s="14"/>
      <c r="D18" s="16" t="s">
        <v>169</v>
      </c>
      <c r="H18" s="6"/>
      <c r="I18" s="6"/>
      <c r="J18" s="6"/>
      <c r="K18" s="6"/>
    </row>
    <row r="19" spans="1:15">
      <c r="A19" s="46" t="s">
        <v>176</v>
      </c>
      <c r="B19" s="14" t="s">
        <v>7</v>
      </c>
      <c r="C19" s="14"/>
      <c r="D19" s="16" t="s">
        <v>177</v>
      </c>
      <c r="H19" s="6"/>
      <c r="I19" s="6"/>
      <c r="J19" s="6"/>
      <c r="K19" s="6"/>
    </row>
    <row r="20" spans="1:15">
      <c r="A20" s="16" t="s">
        <v>179</v>
      </c>
      <c r="B20" s="14" t="s">
        <v>7</v>
      </c>
      <c r="C20" s="14"/>
      <c r="D20" s="16" t="s">
        <v>180</v>
      </c>
      <c r="H20" s="6"/>
      <c r="I20" s="6"/>
      <c r="J20" s="6"/>
      <c r="K20" s="6"/>
    </row>
    <row r="21" spans="1:15">
      <c r="A21" t="s">
        <v>9</v>
      </c>
      <c r="B21" s="30"/>
      <c r="D21" t="s">
        <v>10</v>
      </c>
      <c r="H21" s="6"/>
      <c r="I21" s="6"/>
      <c r="J21" s="6"/>
      <c r="K21" s="6"/>
    </row>
    <row r="23" spans="1:15">
      <c r="B23" s="29"/>
      <c r="C23" s="6"/>
      <c r="D23" s="6"/>
      <c r="E23" s="6"/>
      <c r="F23" s="6"/>
      <c r="G23" s="6"/>
      <c r="H23" s="6"/>
      <c r="I23" s="6"/>
      <c r="J23" s="6"/>
      <c r="K23" s="6"/>
      <c r="O23" s="22"/>
    </row>
    <row r="24" spans="1:15">
      <c r="B24" s="29"/>
      <c r="C24" s="6"/>
      <c r="D24" s="6"/>
      <c r="E24" s="6"/>
      <c r="F24" s="6"/>
      <c r="G24" s="6"/>
      <c r="H24" s="6"/>
      <c r="I24" s="6"/>
      <c r="J24" s="6"/>
      <c r="K24" s="6"/>
      <c r="O24" s="22"/>
    </row>
    <row r="25" spans="1:15">
      <c r="B25" s="29"/>
      <c r="C25" s="6"/>
      <c r="D25" s="6"/>
      <c r="E25" s="6"/>
      <c r="F25" s="6"/>
      <c r="G25" s="6"/>
      <c r="H25" s="6"/>
      <c r="I25" s="6"/>
      <c r="J25" s="6"/>
      <c r="K25" s="6"/>
    </row>
    <row r="26" spans="1:15">
      <c r="B26" s="29"/>
      <c r="C26" s="6"/>
      <c r="D26" s="6"/>
      <c r="E26" s="6"/>
      <c r="F26" s="6"/>
      <c r="G26" s="6"/>
      <c r="H26" s="6"/>
      <c r="I26" s="6"/>
      <c r="J26" s="6"/>
      <c r="K26" s="6"/>
    </row>
    <row r="27" spans="1:15">
      <c r="B27" s="29"/>
      <c r="C27" s="6"/>
      <c r="D27" s="6"/>
      <c r="E27" s="6"/>
      <c r="F27" s="6"/>
      <c r="G27" s="6"/>
      <c r="H27" s="6"/>
      <c r="I27" s="6"/>
      <c r="J27" s="6"/>
      <c r="K27" s="6"/>
    </row>
    <row r="28" spans="1:15">
      <c r="B28" s="28"/>
    </row>
    <row r="29" spans="1:15">
      <c r="B29" s="28"/>
    </row>
    <row r="30" spans="1:15">
      <c r="B30" s="28"/>
    </row>
    <row r="31" spans="1:15">
      <c r="B31" s="28"/>
    </row>
    <row r="32" spans="1:15">
      <c r="B32" s="28"/>
    </row>
    <row r="33" spans="2:2">
      <c r="B33" s="28"/>
    </row>
    <row r="34" spans="2:2">
      <c r="B34" s="28"/>
    </row>
    <row r="35" spans="2:2">
      <c r="B35" s="28"/>
    </row>
    <row r="36" spans="2:2">
      <c r="B36" s="28"/>
    </row>
    <row r="37" spans="2:2">
      <c r="B37" s="28"/>
    </row>
    <row r="38" spans="2:2">
      <c r="B38" s="28"/>
    </row>
    <row r="39" spans="2:2">
      <c r="B39" s="28"/>
    </row>
    <row r="40" spans="2:2">
      <c r="B40" s="28"/>
    </row>
    <row r="41" spans="2:2">
      <c r="B41" s="28"/>
    </row>
    <row r="42" spans="2:2">
      <c r="B42" s="28"/>
    </row>
    <row r="43" spans="2:2">
      <c r="B43" s="28"/>
    </row>
    <row r="44" spans="2:2">
      <c r="B44" s="28"/>
    </row>
    <row r="45" spans="2:2">
      <c r="B45" s="28"/>
    </row>
    <row r="46" spans="2:2">
      <c r="B46" s="28"/>
    </row>
    <row r="47" spans="2:2">
      <c r="B47" s="28"/>
    </row>
    <row r="48" spans="2:2">
      <c r="B48" s="28"/>
    </row>
    <row r="49" spans="1:2">
      <c r="B49" s="28"/>
    </row>
    <row r="50" spans="1:2">
      <c r="B50" s="28"/>
    </row>
    <row r="51" spans="1:2">
      <c r="B51" s="28"/>
    </row>
    <row r="52" spans="1:2">
      <c r="B52" s="28"/>
    </row>
    <row r="53" spans="1:2">
      <c r="B53" s="28"/>
    </row>
    <row r="54" spans="1:2">
      <c r="B54" s="28"/>
    </row>
    <row r="55" spans="1:2">
      <c r="B55" s="28"/>
    </row>
    <row r="56" spans="1:2">
      <c r="B56" s="28"/>
    </row>
    <row r="57" spans="1:2">
      <c r="B57" s="28"/>
    </row>
    <row r="58" spans="1:2">
      <c r="A58" t="s">
        <v>74</v>
      </c>
      <c r="B58" s="28">
        <f>AVERAGE(B2:B56)</f>
        <v>1</v>
      </c>
    </row>
    <row r="59" spans="1:2">
      <c r="A59" t="s">
        <v>75</v>
      </c>
      <c r="B59" s="28">
        <f>IF(B58=0,0,MAX(SUMPRODUCT(B2:B56,B2:B56)/SUM(B2:B56)-B58,0))</f>
        <v>0</v>
      </c>
    </row>
    <row r="60" spans="1:2">
      <c r="A60" t="s">
        <v>76</v>
      </c>
      <c r="B60" s="28">
        <f>ABS(MAX(B2:B56)-B58-B59)</f>
        <v>0</v>
      </c>
    </row>
    <row r="61" spans="1:2">
      <c r="B61" s="28"/>
    </row>
    <row r="62" spans="1:2">
      <c r="B62" s="28"/>
    </row>
    <row r="63" spans="1:2">
      <c r="B63" s="28"/>
    </row>
    <row r="64" spans="1:2">
      <c r="B64" s="28"/>
    </row>
    <row r="65" spans="2:2">
      <c r="B65" s="28"/>
    </row>
    <row r="66" spans="2:2">
      <c r="B66" s="28"/>
    </row>
    <row r="67" spans="2:2">
      <c r="B67" s="28"/>
    </row>
    <row r="68" spans="2:2">
      <c r="B68" s="28"/>
    </row>
    <row r="69" spans="2:2">
      <c r="B69" s="28"/>
    </row>
    <row r="70" spans="2:2">
      <c r="B70" s="28"/>
    </row>
    <row r="71" spans="2:2">
      <c r="B71" s="28"/>
    </row>
    <row r="72" spans="2:2">
      <c r="B72" s="28"/>
    </row>
    <row r="73" spans="2:2">
      <c r="B73" s="28"/>
    </row>
    <row r="74" spans="2:2">
      <c r="B74" s="28"/>
    </row>
    <row r="75" spans="2:2">
      <c r="B75" s="28"/>
    </row>
    <row r="76" spans="2:2">
      <c r="B76" s="28"/>
    </row>
    <row r="77" spans="2:2">
      <c r="B77" s="28"/>
    </row>
    <row r="78" spans="2:2">
      <c r="B78" s="28"/>
    </row>
    <row r="79" spans="2:2">
      <c r="B79" s="28"/>
    </row>
    <row r="80" spans="2:2">
      <c r="B80" s="28"/>
    </row>
    <row r="81" spans="2:2">
      <c r="B81" s="28"/>
    </row>
    <row r="82" spans="2:2">
      <c r="B82" s="28"/>
    </row>
    <row r="83" spans="2:2">
      <c r="B83" s="28"/>
    </row>
    <row r="84" spans="2:2">
      <c r="B84" s="28"/>
    </row>
    <row r="85" spans="2:2">
      <c r="B85" s="28"/>
    </row>
    <row r="86" spans="2:2">
      <c r="B86" s="28"/>
    </row>
    <row r="87" spans="2:2">
      <c r="B87" s="28"/>
    </row>
    <row r="88" spans="2:2">
      <c r="B88" s="28"/>
    </row>
    <row r="89" spans="2:2">
      <c r="B89" s="28"/>
    </row>
    <row r="90" spans="2:2">
      <c r="B90" s="28"/>
    </row>
    <row r="91" spans="2:2">
      <c r="B91" s="28"/>
    </row>
    <row r="92" spans="2:2">
      <c r="B92" s="28"/>
    </row>
    <row r="93" spans="2:2">
      <c r="B93" s="28"/>
    </row>
    <row r="94" spans="2:2">
      <c r="B94" s="28"/>
    </row>
    <row r="95" spans="2:2">
      <c r="B95" s="28"/>
    </row>
    <row r="96" spans="2:2">
      <c r="B96" s="28"/>
    </row>
    <row r="97" spans="2:2">
      <c r="B97" s="28"/>
    </row>
    <row r="98" spans="2:2">
      <c r="B98" s="28"/>
    </row>
    <row r="99" spans="2:2">
      <c r="B99" s="28"/>
    </row>
    <row r="100" spans="2:2">
      <c r="B100" s="28"/>
    </row>
    <row r="101" spans="2:2">
      <c r="B101" s="28"/>
    </row>
    <row r="102" spans="2:2">
      <c r="B102" s="28"/>
    </row>
    <row r="103" spans="2:2">
      <c r="B103" s="28"/>
    </row>
    <row r="104" spans="2:2">
      <c r="B104" s="28"/>
    </row>
    <row r="105" spans="2:2">
      <c r="B105" s="28"/>
    </row>
    <row r="106" spans="2:2">
      <c r="B106" s="28"/>
    </row>
    <row r="107" spans="2:2">
      <c r="B107" s="28"/>
    </row>
    <row r="108" spans="2:2">
      <c r="B108" s="28"/>
    </row>
    <row r="109" spans="2:2">
      <c r="B109" s="28"/>
    </row>
    <row r="110" spans="2:2">
      <c r="B110" s="28"/>
    </row>
    <row r="111" spans="2:2">
      <c r="B111" s="28"/>
    </row>
    <row r="112" spans="2:2">
      <c r="B112" s="28"/>
    </row>
    <row r="113" spans="2:2">
      <c r="B113" s="28"/>
    </row>
    <row r="114" spans="2:2">
      <c r="B114" s="28"/>
    </row>
    <row r="115" spans="2:2">
      <c r="B115" s="28"/>
    </row>
    <row r="116" spans="2:2">
      <c r="B116" s="28"/>
    </row>
    <row r="117" spans="2:2">
      <c r="B117" s="28"/>
    </row>
    <row r="118" spans="2:2">
      <c r="B118" s="28"/>
    </row>
    <row r="119" spans="2:2">
      <c r="B119" s="28"/>
    </row>
    <row r="120" spans="2:2">
      <c r="B120" s="28"/>
    </row>
    <row r="121" spans="2:2">
      <c r="B121" s="28"/>
    </row>
    <row r="122" spans="2:2">
      <c r="B122" s="28"/>
    </row>
    <row r="123" spans="2:2">
      <c r="B123" s="28"/>
    </row>
    <row r="124" spans="2:2">
      <c r="B124" s="28"/>
    </row>
    <row r="125" spans="2:2">
      <c r="B125" s="28"/>
    </row>
    <row r="126" spans="2:2">
      <c r="B126" s="28"/>
    </row>
    <row r="127" spans="2:2">
      <c r="B127" s="28"/>
    </row>
    <row r="128" spans="2:2">
      <c r="B128" s="28"/>
    </row>
    <row r="129" spans="2:2">
      <c r="B129" s="28"/>
    </row>
    <row r="130" spans="2:2">
      <c r="B130" s="28"/>
    </row>
    <row r="131" spans="2:2">
      <c r="B131" s="28"/>
    </row>
    <row r="132" spans="2:2">
      <c r="B132" s="28"/>
    </row>
    <row r="133" spans="2:2">
      <c r="B133" s="28"/>
    </row>
    <row r="134" spans="2:2">
      <c r="B134" s="28"/>
    </row>
    <row r="135" spans="2:2">
      <c r="B135" s="28"/>
    </row>
    <row r="136" spans="2:2">
      <c r="B136" s="28"/>
    </row>
    <row r="137" spans="2:2">
      <c r="B137" s="28"/>
    </row>
    <row r="138" spans="2:2">
      <c r="B138" s="28"/>
    </row>
    <row r="139" spans="2:2">
      <c r="B139" s="28"/>
    </row>
    <row r="140" spans="2:2">
      <c r="B140" s="28"/>
    </row>
    <row r="141" spans="2:2">
      <c r="B141" s="28"/>
    </row>
    <row r="142" spans="2:2">
      <c r="B142" s="28"/>
    </row>
    <row r="143" spans="2:2">
      <c r="B143" s="28"/>
    </row>
    <row r="144" spans="2:2">
      <c r="B144" s="28"/>
    </row>
    <row r="145" spans="2:2">
      <c r="B145" s="28"/>
    </row>
    <row r="146" spans="2:2">
      <c r="B146" s="28"/>
    </row>
    <row r="147" spans="2:2">
      <c r="B147" s="28"/>
    </row>
    <row r="148" spans="2:2">
      <c r="B148" s="28"/>
    </row>
    <row r="149" spans="2:2">
      <c r="B149" s="28"/>
    </row>
    <row r="150" spans="2:2">
      <c r="B150" s="28"/>
    </row>
    <row r="151" spans="2:2">
      <c r="B151" s="28"/>
    </row>
    <row r="152" spans="2:2">
      <c r="B152" s="28"/>
    </row>
    <row r="153" spans="2:2">
      <c r="B153" s="28"/>
    </row>
    <row r="154" spans="2:2">
      <c r="B154" s="28"/>
    </row>
    <row r="155" spans="2:2">
      <c r="B155" s="28"/>
    </row>
    <row r="156" spans="2:2">
      <c r="B156" s="28"/>
    </row>
    <row r="157" spans="2:2">
      <c r="B157" s="28"/>
    </row>
    <row r="158" spans="2:2">
      <c r="B158" s="28"/>
    </row>
    <row r="159" spans="2:2">
      <c r="B159" s="28"/>
    </row>
    <row r="160" spans="2:2">
      <c r="B160" s="28"/>
    </row>
    <row r="161" spans="2:2">
      <c r="B161" s="28"/>
    </row>
    <row r="162" spans="2:2">
      <c r="B162" s="28"/>
    </row>
    <row r="163" spans="2:2">
      <c r="B163" s="28"/>
    </row>
    <row r="164" spans="2:2">
      <c r="B164" s="28"/>
    </row>
    <row r="165" spans="2:2">
      <c r="B165" s="28"/>
    </row>
    <row r="166" spans="2:2">
      <c r="B166" s="28"/>
    </row>
    <row r="167" spans="2:2">
      <c r="B167" s="28"/>
    </row>
    <row r="168" spans="2:2">
      <c r="B168" s="28"/>
    </row>
    <row r="169" spans="2:2">
      <c r="B169" s="28"/>
    </row>
    <row r="170" spans="2:2">
      <c r="B170" s="28"/>
    </row>
    <row r="171" spans="2:2">
      <c r="B171" s="28"/>
    </row>
    <row r="172" spans="2:2">
      <c r="B172" s="28"/>
    </row>
    <row r="173" spans="2:2">
      <c r="B173" s="28"/>
    </row>
    <row r="174" spans="2:2">
      <c r="B174" s="28"/>
    </row>
    <row r="175" spans="2:2">
      <c r="B175" s="28"/>
    </row>
    <row r="176" spans="2:2">
      <c r="B176" s="28"/>
    </row>
    <row r="177" spans="2:2">
      <c r="B177" s="28"/>
    </row>
    <row r="178" spans="2:2">
      <c r="B178" s="28"/>
    </row>
    <row r="179" spans="2:2">
      <c r="B179" s="28"/>
    </row>
    <row r="180" spans="2:2">
      <c r="B180" s="28"/>
    </row>
    <row r="181" spans="2:2">
      <c r="B181" s="28"/>
    </row>
    <row r="182" spans="2:2">
      <c r="B182" s="28"/>
    </row>
    <row r="183" spans="2:2">
      <c r="B183" s="28"/>
    </row>
    <row r="184" spans="2:2">
      <c r="B184" s="28"/>
    </row>
    <row r="185" spans="2:2">
      <c r="B185" s="28"/>
    </row>
    <row r="186" spans="2:2">
      <c r="B186" s="28"/>
    </row>
    <row r="187" spans="2:2">
      <c r="B187" s="28"/>
    </row>
    <row r="188" spans="2:2">
      <c r="B188" s="28"/>
    </row>
    <row r="189" spans="2:2">
      <c r="B189" s="28"/>
    </row>
    <row r="190" spans="2:2">
      <c r="B190" s="28"/>
    </row>
    <row r="191" spans="2:2">
      <c r="B191" s="28"/>
    </row>
    <row r="192" spans="2:2">
      <c r="B192" s="28"/>
    </row>
    <row r="193" spans="2:2">
      <c r="B193" s="28"/>
    </row>
    <row r="194" spans="2:2">
      <c r="B194" s="28"/>
    </row>
    <row r="195" spans="2:2">
      <c r="B195" s="28"/>
    </row>
    <row r="196" spans="2:2">
      <c r="B196" s="28"/>
    </row>
    <row r="197" spans="2:2">
      <c r="B197" s="28"/>
    </row>
    <row r="198" spans="2:2">
      <c r="B198" s="28"/>
    </row>
    <row r="199" spans="2:2">
      <c r="B199" s="28"/>
    </row>
    <row r="200" spans="2:2">
      <c r="B200" s="28"/>
    </row>
    <row r="201" spans="2:2">
      <c r="B201" s="28"/>
    </row>
    <row r="202" spans="2:2">
      <c r="B202" s="28"/>
    </row>
    <row r="203" spans="2:2">
      <c r="B203" s="28"/>
    </row>
    <row r="204" spans="2:2">
      <c r="B204" s="28"/>
    </row>
    <row r="205" spans="2:2">
      <c r="B205" s="28"/>
    </row>
    <row r="206" spans="2:2">
      <c r="B206" s="28"/>
    </row>
    <row r="207" spans="2:2">
      <c r="B207" s="28"/>
    </row>
    <row r="208" spans="2:2">
      <c r="B208" s="28"/>
    </row>
    <row r="209" spans="2:2">
      <c r="B209" s="28"/>
    </row>
    <row r="210" spans="2:2">
      <c r="B210" s="28"/>
    </row>
    <row r="211" spans="2:2">
      <c r="B211" s="28"/>
    </row>
    <row r="212" spans="2:2">
      <c r="B212" s="28"/>
    </row>
    <row r="213" spans="2:2">
      <c r="B213" s="28"/>
    </row>
    <row r="214" spans="2:2">
      <c r="B214" s="28"/>
    </row>
    <row r="215" spans="2:2">
      <c r="B215" s="28"/>
    </row>
    <row r="216" spans="2:2">
      <c r="B216" s="28"/>
    </row>
    <row r="217" spans="2:2">
      <c r="B217" s="28"/>
    </row>
    <row r="218" spans="2:2">
      <c r="B218" s="28"/>
    </row>
    <row r="219" spans="2:2">
      <c r="B219" s="28"/>
    </row>
    <row r="220" spans="2:2">
      <c r="B220" s="28"/>
    </row>
    <row r="221" spans="2:2">
      <c r="B221" s="28"/>
    </row>
    <row r="222" spans="2:2">
      <c r="B222" s="28"/>
    </row>
    <row r="223" spans="2:2">
      <c r="B223" s="28"/>
    </row>
    <row r="224" spans="2:2">
      <c r="B224" s="28"/>
    </row>
    <row r="225" spans="2:2">
      <c r="B225" s="28"/>
    </row>
    <row r="226" spans="2:2">
      <c r="B226" s="28"/>
    </row>
    <row r="227" spans="2:2">
      <c r="B227" s="28"/>
    </row>
    <row r="228" spans="2:2">
      <c r="B228" s="28"/>
    </row>
    <row r="229" spans="2:2">
      <c r="B229" s="28"/>
    </row>
    <row r="230" spans="2:2">
      <c r="B230" s="28"/>
    </row>
    <row r="231" spans="2:2">
      <c r="B231" s="28"/>
    </row>
    <row r="232" spans="2:2">
      <c r="B232" s="28"/>
    </row>
    <row r="233" spans="2:2">
      <c r="B233" s="28"/>
    </row>
    <row r="234" spans="2:2">
      <c r="B234" s="28"/>
    </row>
    <row r="235" spans="2:2">
      <c r="B235" s="28"/>
    </row>
    <row r="236" spans="2:2">
      <c r="B236" s="28"/>
    </row>
    <row r="237" spans="2:2">
      <c r="B237" s="28"/>
    </row>
    <row r="238" spans="2:2">
      <c r="B238" s="28"/>
    </row>
    <row r="239" spans="2:2">
      <c r="B239" s="28"/>
    </row>
    <row r="240" spans="2:2">
      <c r="B240" s="28"/>
    </row>
    <row r="241" spans="2:2">
      <c r="B241" s="28"/>
    </row>
    <row r="242" spans="2:2">
      <c r="B242" s="28"/>
    </row>
    <row r="243" spans="2:2">
      <c r="B243" s="28"/>
    </row>
    <row r="244" spans="2:2">
      <c r="B244" s="28"/>
    </row>
    <row r="245" spans="2:2">
      <c r="B245" s="28"/>
    </row>
    <row r="246" spans="2:2">
      <c r="B246" s="28"/>
    </row>
    <row r="247" spans="2:2">
      <c r="B247" s="28"/>
    </row>
    <row r="248" spans="2:2">
      <c r="B248" s="28"/>
    </row>
    <row r="249" spans="2:2">
      <c r="B249" s="28"/>
    </row>
    <row r="250" spans="2:2">
      <c r="B250" s="28"/>
    </row>
    <row r="251" spans="2:2">
      <c r="B251" s="28"/>
    </row>
    <row r="252" spans="2:2">
      <c r="B252" s="28"/>
    </row>
    <row r="253" spans="2:2">
      <c r="B253" s="28"/>
    </row>
    <row r="254" spans="2:2">
      <c r="B254" s="28"/>
    </row>
    <row r="255" spans="2:2">
      <c r="B255" s="28"/>
    </row>
    <row r="256" spans="2:2">
      <c r="B256" s="28"/>
    </row>
    <row r="257" spans="2:2">
      <c r="B257" s="28"/>
    </row>
    <row r="258" spans="2:2">
      <c r="B258" s="28"/>
    </row>
    <row r="259" spans="2:2">
      <c r="B259" s="28"/>
    </row>
    <row r="260" spans="2:2">
      <c r="B260" s="28"/>
    </row>
    <row r="261" spans="2:2">
      <c r="B261" s="28"/>
    </row>
    <row r="262" spans="2:2">
      <c r="B262" s="28"/>
    </row>
    <row r="263" spans="2:2">
      <c r="B263" s="28"/>
    </row>
    <row r="264" spans="2:2">
      <c r="B264" s="28"/>
    </row>
    <row r="265" spans="2:2">
      <c r="B265" s="28"/>
    </row>
    <row r="266" spans="2:2">
      <c r="B266" s="28"/>
    </row>
    <row r="267" spans="2:2">
      <c r="B267" s="28"/>
    </row>
    <row r="268" spans="2:2">
      <c r="B268" s="28"/>
    </row>
    <row r="269" spans="2:2">
      <c r="B269" s="28"/>
    </row>
    <row r="270" spans="2:2">
      <c r="B270" s="28"/>
    </row>
    <row r="271" spans="2:2">
      <c r="B271" s="28"/>
    </row>
    <row r="272" spans="2:2">
      <c r="B272" s="28"/>
    </row>
    <row r="273" spans="2:2">
      <c r="B273" s="28"/>
    </row>
    <row r="274" spans="2:2">
      <c r="B274" s="28"/>
    </row>
    <row r="275" spans="2:2">
      <c r="B275" s="28"/>
    </row>
    <row r="276" spans="2:2">
      <c r="B276" s="28"/>
    </row>
    <row r="277" spans="2:2">
      <c r="B277" s="28"/>
    </row>
    <row r="278" spans="2:2">
      <c r="B278" s="28"/>
    </row>
    <row r="279" spans="2:2">
      <c r="B279" s="28"/>
    </row>
    <row r="280" spans="2:2">
      <c r="B280" s="28"/>
    </row>
    <row r="281" spans="2:2">
      <c r="B281" s="28"/>
    </row>
    <row r="282" spans="2:2">
      <c r="B282" s="28"/>
    </row>
    <row r="283" spans="2:2">
      <c r="B283" s="28"/>
    </row>
    <row r="284" spans="2:2">
      <c r="B284" s="28"/>
    </row>
    <row r="285" spans="2:2">
      <c r="B285" s="28"/>
    </row>
    <row r="286" spans="2:2">
      <c r="B286" s="28"/>
    </row>
    <row r="287" spans="2:2">
      <c r="B287" s="28"/>
    </row>
    <row r="288" spans="2:2">
      <c r="B288" s="28"/>
    </row>
    <row r="289" spans="2:2">
      <c r="B289" s="28"/>
    </row>
    <row r="290" spans="2:2">
      <c r="B290" s="28"/>
    </row>
    <row r="291" spans="2:2">
      <c r="B291" s="28"/>
    </row>
    <row r="292" spans="2:2">
      <c r="B292" s="28"/>
    </row>
    <row r="293" spans="2:2">
      <c r="B293" s="28"/>
    </row>
    <row r="294" spans="2:2">
      <c r="B294" s="28"/>
    </row>
    <row r="295" spans="2:2">
      <c r="B295" s="28"/>
    </row>
    <row r="296" spans="2:2">
      <c r="B296" s="28"/>
    </row>
    <row r="297" spans="2:2">
      <c r="B297" s="28"/>
    </row>
    <row r="298" spans="2:2">
      <c r="B298" s="28"/>
    </row>
    <row r="299" spans="2:2">
      <c r="B299" s="28"/>
    </row>
    <row r="300" spans="2:2">
      <c r="B300" s="28"/>
    </row>
    <row r="301" spans="2:2">
      <c r="B301" s="28"/>
    </row>
    <row r="302" spans="2:2">
      <c r="B302" s="28"/>
    </row>
    <row r="303" spans="2:2">
      <c r="B303" s="28"/>
    </row>
    <row r="304" spans="2:2">
      <c r="B304" s="28"/>
    </row>
    <row r="305" spans="2:2">
      <c r="B305" s="28"/>
    </row>
    <row r="306" spans="2:2">
      <c r="B306" s="28"/>
    </row>
    <row r="307" spans="2:2">
      <c r="B307" s="28"/>
    </row>
    <row r="308" spans="2:2">
      <c r="B308" s="28"/>
    </row>
    <row r="309" spans="2:2">
      <c r="B309" s="28"/>
    </row>
    <row r="310" spans="2:2">
      <c r="B310" s="28"/>
    </row>
    <row r="311" spans="2:2">
      <c r="B311" s="28"/>
    </row>
    <row r="312" spans="2:2">
      <c r="B312" s="28"/>
    </row>
    <row r="313" spans="2:2">
      <c r="B313" s="28"/>
    </row>
    <row r="314" spans="2:2">
      <c r="B314" s="28"/>
    </row>
    <row r="315" spans="2:2">
      <c r="B315" s="28"/>
    </row>
    <row r="316" spans="2:2">
      <c r="B316" s="28"/>
    </row>
    <row r="317" spans="2:2">
      <c r="B317" s="28"/>
    </row>
    <row r="318" spans="2:2">
      <c r="B318" s="28"/>
    </row>
    <row r="319" spans="2:2">
      <c r="B319" s="28"/>
    </row>
    <row r="320" spans="2:2">
      <c r="B320" s="28"/>
    </row>
    <row r="321" spans="2:2">
      <c r="B321" s="28"/>
    </row>
    <row r="322" spans="2:2">
      <c r="B322" s="28"/>
    </row>
    <row r="323" spans="2:2">
      <c r="B323" s="28"/>
    </row>
    <row r="324" spans="2:2">
      <c r="B324" s="28"/>
    </row>
    <row r="325" spans="2:2">
      <c r="B325" s="28"/>
    </row>
    <row r="326" spans="2:2">
      <c r="B326" s="28"/>
    </row>
    <row r="327" spans="2:2">
      <c r="B327" s="28"/>
    </row>
    <row r="328" spans="2:2">
      <c r="B328" s="28"/>
    </row>
    <row r="329" spans="2:2">
      <c r="B329" s="28"/>
    </row>
    <row r="330" spans="2:2">
      <c r="B330" s="28"/>
    </row>
    <row r="331" spans="2:2">
      <c r="B331" s="28"/>
    </row>
    <row r="332" spans="2:2">
      <c r="B332" s="28"/>
    </row>
    <row r="333" spans="2:2">
      <c r="B333" s="28"/>
    </row>
    <row r="334" spans="2:2">
      <c r="B334" s="28"/>
    </row>
    <row r="335" spans="2:2">
      <c r="B335" s="28"/>
    </row>
    <row r="336" spans="2:2">
      <c r="B336" s="28"/>
    </row>
    <row r="337" spans="2:2">
      <c r="B337" s="28"/>
    </row>
    <row r="338" spans="2:2">
      <c r="B338" s="28"/>
    </row>
    <row r="339" spans="2:2">
      <c r="B339" s="28"/>
    </row>
    <row r="340" spans="2:2">
      <c r="B340" s="28"/>
    </row>
    <row r="341" spans="2:2">
      <c r="B341" s="28"/>
    </row>
    <row r="342" spans="2:2">
      <c r="B342" s="28"/>
    </row>
    <row r="343" spans="2:2">
      <c r="B343" s="28"/>
    </row>
    <row r="344" spans="2:2">
      <c r="B344" s="28"/>
    </row>
    <row r="345" spans="2:2">
      <c r="B345" s="28"/>
    </row>
    <row r="346" spans="2:2">
      <c r="B346" s="28"/>
    </row>
    <row r="347" spans="2:2">
      <c r="B347" s="28"/>
    </row>
    <row r="348" spans="2:2">
      <c r="B348" s="28"/>
    </row>
    <row r="349" spans="2:2">
      <c r="B349" s="28"/>
    </row>
    <row r="350" spans="2:2">
      <c r="B350" s="28"/>
    </row>
    <row r="351" spans="2:2">
      <c r="B351" s="28"/>
    </row>
    <row r="352" spans="2:2">
      <c r="B352" s="28"/>
    </row>
    <row r="353" spans="2:2">
      <c r="B353" s="28"/>
    </row>
    <row r="354" spans="2:2">
      <c r="B354" s="28"/>
    </row>
    <row r="355" spans="2:2">
      <c r="B355" s="28"/>
    </row>
    <row r="356" spans="2:2">
      <c r="B356" s="28"/>
    </row>
    <row r="357" spans="2:2">
      <c r="B357" s="28"/>
    </row>
    <row r="358" spans="2:2">
      <c r="B358" s="28"/>
    </row>
    <row r="359" spans="2:2">
      <c r="B359" s="28"/>
    </row>
    <row r="360" spans="2:2">
      <c r="B360" s="28"/>
    </row>
    <row r="361" spans="2:2">
      <c r="B361" s="28"/>
    </row>
    <row r="362" spans="2:2">
      <c r="B362" s="28"/>
    </row>
    <row r="363" spans="2:2">
      <c r="B363" s="28"/>
    </row>
    <row r="364" spans="2:2">
      <c r="B364" s="28"/>
    </row>
    <row r="365" spans="2:2">
      <c r="B365" s="28"/>
    </row>
    <row r="366" spans="2:2">
      <c r="B366" s="28"/>
    </row>
    <row r="367" spans="2:2">
      <c r="B367" s="28"/>
    </row>
    <row r="368" spans="2:2">
      <c r="B368" s="28"/>
    </row>
    <row r="369" spans="2:2">
      <c r="B369" s="28"/>
    </row>
    <row r="370" spans="2:2">
      <c r="B370" s="28"/>
    </row>
    <row r="371" spans="2:2">
      <c r="B371" s="28"/>
    </row>
    <row r="372" spans="2:2">
      <c r="B372" s="28"/>
    </row>
    <row r="373" spans="2:2">
      <c r="B373" s="28"/>
    </row>
    <row r="374" spans="2:2">
      <c r="B374" s="28"/>
    </row>
    <row r="375" spans="2:2">
      <c r="B375" s="28"/>
    </row>
    <row r="376" spans="2:2">
      <c r="B376" s="28"/>
    </row>
    <row r="377" spans="2:2">
      <c r="B377" s="28"/>
    </row>
    <row r="378" spans="2:2">
      <c r="B378" s="28"/>
    </row>
    <row r="379" spans="2:2">
      <c r="B379" s="28"/>
    </row>
    <row r="380" spans="2:2">
      <c r="B380" s="28"/>
    </row>
    <row r="381" spans="2:2">
      <c r="B381" s="28"/>
    </row>
    <row r="382" spans="2:2">
      <c r="B382" s="28"/>
    </row>
    <row r="383" spans="2:2">
      <c r="B383" s="28"/>
    </row>
    <row r="384" spans="2:2">
      <c r="B384" s="28"/>
    </row>
    <row r="385" spans="2:2">
      <c r="B385" s="28"/>
    </row>
    <row r="386" spans="2:2">
      <c r="B386" s="28"/>
    </row>
    <row r="387" spans="2:2">
      <c r="B387" s="28"/>
    </row>
    <row r="388" spans="2:2">
      <c r="B388" s="28"/>
    </row>
    <row r="389" spans="2:2">
      <c r="B389" s="28"/>
    </row>
    <row r="390" spans="2:2">
      <c r="B390" s="28"/>
    </row>
    <row r="391" spans="2:2">
      <c r="B391" s="28"/>
    </row>
    <row r="392" spans="2:2">
      <c r="B392" s="28"/>
    </row>
    <row r="393" spans="2:2">
      <c r="B393" s="28"/>
    </row>
    <row r="394" spans="2:2">
      <c r="B394" s="28"/>
    </row>
    <row r="395" spans="2:2">
      <c r="B395" s="28"/>
    </row>
    <row r="396" spans="2:2">
      <c r="B396" s="28"/>
    </row>
    <row r="397" spans="2:2">
      <c r="B397" s="28"/>
    </row>
    <row r="398" spans="2:2">
      <c r="B398" s="28"/>
    </row>
    <row r="399" spans="2:2">
      <c r="B399" s="28"/>
    </row>
    <row r="400" spans="2:2">
      <c r="B400" s="28"/>
    </row>
    <row r="401" spans="2:2">
      <c r="B401" s="28"/>
    </row>
    <row r="402" spans="2:2">
      <c r="B402" s="28"/>
    </row>
    <row r="403" spans="2:2">
      <c r="B403" s="28"/>
    </row>
    <row r="404" spans="2:2">
      <c r="B404" s="28"/>
    </row>
    <row r="405" spans="2:2">
      <c r="B405" s="28"/>
    </row>
    <row r="406" spans="2:2">
      <c r="B406" s="28"/>
    </row>
    <row r="407" spans="2:2">
      <c r="B407" s="28"/>
    </row>
    <row r="408" spans="2:2">
      <c r="B408" s="28"/>
    </row>
    <row r="409" spans="2:2">
      <c r="B409" s="28"/>
    </row>
    <row r="410" spans="2:2">
      <c r="B410" s="28"/>
    </row>
  </sheetData>
  <sortState columnSort="1" ref="B1:D22">
    <sortCondition descending="1" ref="B22" customList="Sun,Mon,Tue,Wed,Thu,Fri,Sat"/>
  </sortState>
  <dataConsolidate/>
  <phoneticPr fontId="0" type="noConversion"/>
  <dataValidations count="9">
    <dataValidation type="list" allowBlank="1" showInputMessage="1" showErrorMessage="1" error="First must be &gt;1 and &lt; Last" sqref="C10">
      <formula1>"CHARTS,PICTURES,PRINT,WEB"</formula1>
    </dataValidation>
    <dataValidation type="list" allowBlank="1" showInputMessage="1" showErrorMessage="1" error="First must be &gt;1 and &lt; Last" sqref="B10">
      <formula1>"ALL,LIST"</formula1>
    </dataValidation>
    <dataValidation type="list" allowBlank="1" showInputMessage="1" showErrorMessage="1" error="First must be &gt;1 and &lt; Last" sqref="B13">
      <formula1>"NO,YES,KEEP,ONLY"</formula1>
    </dataValidation>
    <dataValidation type="list" allowBlank="1" showInputMessage="1" showErrorMessage="1" error="First must be &gt;1 and &lt; Last" sqref="C13">
      <formula1>"NOTOP,TOP"</formula1>
    </dataValidation>
    <dataValidation type="list" allowBlank="1" showInputMessage="1" showErrorMessage="1" sqref="B14">
      <formula1>"NO,YES"</formula1>
    </dataValidation>
    <dataValidation type="list" allowBlank="1" showInputMessage="1" showErrorMessage="1" sqref="B15:B20">
      <formula1>"YES, NO"</formula1>
    </dataValidation>
    <dataValidation operator="greaterThan" allowBlank="1" showInputMessage="1" showErrorMessage="1" sqref="C12"/>
    <dataValidation type="whole" operator="greaterThan" allowBlank="1" showInputMessage="1" showErrorMessage="1" error="Last must be greater than First" sqref="C11">
      <formula1>B11</formula1>
    </dataValidation>
    <dataValidation type="whole" allowBlank="1" showInputMessage="1" showErrorMessage="1" error="First must be greater than 0 and less than Last" sqref="B11">
      <formula1>1</formula1>
      <formula2>C11</formula2>
    </dataValidation>
  </dataValidations>
  <pageMargins left="0.75" right="0.75" top="1" bottom="1" header="0.5" footer="0.5"/>
  <pageSetup paperSize="9" orientation="landscape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Button2_Click">
                <anchor moveWithCells="1" sizeWithCells="1">
                  <from>
                    <xdr:col>4</xdr:col>
                    <xdr:colOff>50800</xdr:colOff>
                    <xdr:row>3</xdr:row>
                    <xdr:rowOff>0</xdr:rowOff>
                  </from>
                  <to>
                    <xdr:col>6</xdr:col>
                    <xdr:colOff>279400</xdr:colOff>
                    <xdr:row>5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O32"/>
  <sheetViews>
    <sheetView workbookViewId="0">
      <selection activeCell="B10" sqref="B10"/>
    </sheetView>
  </sheetViews>
  <sheetFormatPr baseColWidth="10" defaultColWidth="9.6640625" defaultRowHeight="12" x14ac:dyDescent="0"/>
  <cols>
    <col min="1" max="1" width="15.1640625" customWidth="1"/>
    <col min="2" max="2" width="91.5" customWidth="1"/>
    <col min="3" max="3" width="12" customWidth="1"/>
    <col min="4" max="6" width="9.6640625" customWidth="1"/>
    <col min="7" max="7" width="12.33203125" bestFit="1" customWidth="1"/>
    <col min="8" max="8" width="10" bestFit="1" customWidth="1"/>
    <col min="9" max="14" width="9.6640625" customWidth="1"/>
    <col min="15" max="15" width="9.6640625" hidden="1" customWidth="1"/>
  </cols>
  <sheetData>
    <row r="1" spans="1:9">
      <c r="A1" s="1" t="s">
        <v>19</v>
      </c>
    </row>
    <row r="2" spans="1:9">
      <c r="A2" t="s">
        <v>20</v>
      </c>
      <c r="B2" s="3" t="s">
        <v>5</v>
      </c>
      <c r="C2" t="s">
        <v>65</v>
      </c>
    </row>
    <row r="3" spans="1:9">
      <c r="A3" t="s">
        <v>12</v>
      </c>
      <c r="B3" s="48"/>
      <c r="C3" s="49"/>
      <c r="D3" s="49"/>
      <c r="E3" t="s">
        <v>13</v>
      </c>
    </row>
    <row r="5" spans="1:9">
      <c r="A5" s="1" t="s">
        <v>18</v>
      </c>
    </row>
    <row r="6" spans="1:9">
      <c r="A6" t="s">
        <v>1</v>
      </c>
      <c r="B6" s="12" t="s">
        <v>2</v>
      </c>
      <c r="C6" t="s">
        <v>3</v>
      </c>
    </row>
    <row r="7" spans="1:9">
      <c r="A7" t="s">
        <v>15</v>
      </c>
      <c r="B7" s="15">
        <v>0</v>
      </c>
      <c r="C7" t="s">
        <v>16</v>
      </c>
      <c r="D7" s="4">
        <f>+GWIDTH/2.4</f>
        <v>0</v>
      </c>
      <c r="E7" t="s">
        <v>21</v>
      </c>
    </row>
    <row r="8" spans="1:9">
      <c r="A8" t="s">
        <v>28</v>
      </c>
      <c r="B8" s="41" t="s">
        <v>105</v>
      </c>
      <c r="C8" s="13"/>
      <c r="D8" s="13"/>
      <c r="E8" s="13"/>
      <c r="F8" s="13"/>
      <c r="G8" s="13"/>
      <c r="H8" s="13"/>
      <c r="I8" s="13"/>
    </row>
    <row r="9" spans="1:9">
      <c r="A9" t="s">
        <v>39</v>
      </c>
      <c r="B9" s="42" t="s">
        <v>110</v>
      </c>
      <c r="C9" s="13"/>
      <c r="D9" s="16" t="s">
        <v>70</v>
      </c>
      <c r="E9" s="13"/>
      <c r="F9" s="13"/>
      <c r="G9" s="13"/>
      <c r="H9" s="13"/>
      <c r="I9" s="13"/>
    </row>
    <row r="10" spans="1:9">
      <c r="A10" t="s">
        <v>85</v>
      </c>
      <c r="B10" s="14">
        <v>0</v>
      </c>
      <c r="C10" s="13"/>
      <c r="D10" s="16" t="s">
        <v>84</v>
      </c>
      <c r="E10" s="13"/>
      <c r="F10" s="13"/>
      <c r="G10" s="13"/>
      <c r="H10" s="13"/>
      <c r="I10" s="13"/>
    </row>
    <row r="11" spans="1:9">
      <c r="A11" t="s">
        <v>6</v>
      </c>
      <c r="B11" s="20" t="s">
        <v>5</v>
      </c>
      <c r="D11" t="s">
        <v>22</v>
      </c>
      <c r="E11" s="13"/>
      <c r="F11" s="13"/>
      <c r="G11" s="13"/>
      <c r="H11" s="13"/>
      <c r="I11" s="13"/>
    </row>
    <row r="12" spans="1:9">
      <c r="A12" t="s">
        <v>11</v>
      </c>
      <c r="B12" s="20">
        <v>0</v>
      </c>
      <c r="D12" t="s">
        <v>8</v>
      </c>
      <c r="E12" s="13"/>
      <c r="F12" s="13"/>
      <c r="G12" s="13"/>
      <c r="H12" s="13"/>
      <c r="I12" s="13"/>
    </row>
    <row r="13" spans="1:9">
      <c r="A13" t="s">
        <v>37</v>
      </c>
      <c r="B13" s="17" t="s">
        <v>61</v>
      </c>
      <c r="C13" s="16" t="s">
        <v>38</v>
      </c>
      <c r="D13" s="13"/>
      <c r="E13" s="13"/>
      <c r="F13" s="13"/>
      <c r="G13" s="13"/>
      <c r="H13" s="13"/>
      <c r="I13" s="13"/>
    </row>
    <row r="14" spans="1:9">
      <c r="A14" s="16" t="s">
        <v>149</v>
      </c>
      <c r="B14" s="20" t="s">
        <v>5</v>
      </c>
      <c r="C14" s="16" t="s">
        <v>150</v>
      </c>
      <c r="D14" s="13"/>
      <c r="E14" s="13"/>
      <c r="F14" s="13"/>
      <c r="G14" s="13"/>
      <c r="H14" s="13"/>
      <c r="I14" s="13"/>
    </row>
    <row r="15" spans="1:9">
      <c r="B15" s="3"/>
      <c r="C15" s="10"/>
    </row>
    <row r="16" spans="1:9">
      <c r="A16" s="1" t="s">
        <v>50</v>
      </c>
      <c r="B16" s="3"/>
      <c r="C16" t="s">
        <v>62</v>
      </c>
    </row>
    <row r="17" spans="1:15">
      <c r="C17" s="26" t="s">
        <v>54</v>
      </c>
      <c r="D17" s="27" t="s">
        <v>55</v>
      </c>
      <c r="E17" s="27" t="s">
        <v>56</v>
      </c>
      <c r="F17" s="27" t="s">
        <v>57</v>
      </c>
      <c r="G17" s="27" t="s">
        <v>58</v>
      </c>
      <c r="H17" s="27" t="s">
        <v>59</v>
      </c>
      <c r="O17" s="11"/>
    </row>
    <row r="18" spans="1:15">
      <c r="C18" s="14" t="s">
        <v>42</v>
      </c>
      <c r="D18" s="14" t="s">
        <v>64</v>
      </c>
      <c r="E18" s="14" t="s">
        <v>44</v>
      </c>
      <c r="F18" s="21" t="s">
        <v>43</v>
      </c>
      <c r="G18" s="34" t="s">
        <v>63</v>
      </c>
      <c r="H18" s="14" t="s">
        <v>45</v>
      </c>
      <c r="O18" s="22"/>
    </row>
    <row r="19" spans="1:15">
      <c r="A19" s="47" t="s">
        <v>26</v>
      </c>
      <c r="B19" s="47"/>
      <c r="O19" s="22"/>
    </row>
    <row r="20" spans="1:15">
      <c r="A20" t="s">
        <v>25</v>
      </c>
      <c r="B20" s="14">
        <v>1</v>
      </c>
      <c r="C20" t="s">
        <v>14</v>
      </c>
      <c r="D20" s="3" t="s">
        <v>7</v>
      </c>
      <c r="E20" t="s">
        <v>51</v>
      </c>
      <c r="O20" s="22"/>
    </row>
    <row r="21" spans="1:15">
      <c r="A21" t="s">
        <v>24</v>
      </c>
      <c r="B21" s="52" t="s">
        <v>34</v>
      </c>
      <c r="C21" s="53"/>
      <c r="D21" t="s">
        <v>35</v>
      </c>
      <c r="O21" s="22"/>
    </row>
    <row r="22" spans="1:15">
      <c r="B22" s="8"/>
    </row>
    <row r="23" spans="1:15">
      <c r="A23" s="1" t="s">
        <v>29</v>
      </c>
      <c r="B23" s="3"/>
      <c r="C23" s="9"/>
    </row>
    <row r="24" spans="1:15">
      <c r="A24" s="2" t="s">
        <v>32</v>
      </c>
      <c r="B24" s="3" t="s">
        <v>5</v>
      </c>
      <c r="C24" s="9" t="s">
        <v>33</v>
      </c>
      <c r="D24" s="14" t="s">
        <v>5</v>
      </c>
      <c r="E24" t="s">
        <v>36</v>
      </c>
    </row>
    <row r="25" spans="1:15">
      <c r="A25" t="s">
        <v>30</v>
      </c>
      <c r="B25" s="50"/>
      <c r="C25" s="51"/>
      <c r="D25" s="51"/>
      <c r="E25" t="s">
        <v>31</v>
      </c>
    </row>
    <row r="26" spans="1:15">
      <c r="B26" s="3"/>
      <c r="C26" s="9"/>
    </row>
    <row r="27" spans="1:15">
      <c r="A27" s="1" t="s">
        <v>17</v>
      </c>
      <c r="B27" s="1"/>
      <c r="C27" s="1"/>
      <c r="D27" s="1"/>
      <c r="E27" s="1"/>
      <c r="F27" s="1"/>
    </row>
    <row r="28" spans="1:15">
      <c r="A28" s="2" t="s">
        <v>66</v>
      </c>
      <c r="B28" s="31" t="s">
        <v>0</v>
      </c>
      <c r="C28" s="2" t="s">
        <v>67</v>
      </c>
      <c r="D28" s="1"/>
      <c r="E28" s="1"/>
      <c r="F28" s="1"/>
    </row>
    <row r="29" spans="1:15">
      <c r="B29" s="15"/>
    </row>
    <row r="31" spans="1:15">
      <c r="A31" s="5" t="s">
        <v>4</v>
      </c>
    </row>
    <row r="32" spans="1:15">
      <c r="A32" s="32" t="s">
        <v>68</v>
      </c>
    </row>
  </sheetData>
  <mergeCells count="4">
    <mergeCell ref="A19:B19"/>
    <mergeCell ref="B3:D3"/>
    <mergeCell ref="B25:D25"/>
    <mergeCell ref="B21:C21"/>
  </mergeCells>
  <phoneticPr fontId="0" type="noConversion"/>
  <dataValidations count="5">
    <dataValidation type="whole" allowBlank="1" showInputMessage="1" showErrorMessage="1" sqref="B20">
      <formula1>1</formula1>
      <formula2>9999</formula2>
    </dataValidation>
    <dataValidation type="list" allowBlank="1" showInputMessage="1" showErrorMessage="1" sqref="B29 B11 D24 B24 B2 B14">
      <formula1>"YES,NO"</formula1>
    </dataValidation>
    <dataValidation type="list" allowBlank="1" showInputMessage="1" showErrorMessage="1" sqref="B9">
      <formula1>"KEEP,DELETE"</formula1>
    </dataValidation>
    <dataValidation type="list" allowBlank="1" showInputMessage="1" showErrorMessage="1" sqref="H18">
      <formula1>"SUM,COUNT,MIN,AVG,MAX"</formula1>
    </dataValidation>
    <dataValidation type="list" allowBlank="1" showInputMessage="1" showErrorMessage="1" sqref="D20">
      <formula1>"NO,YES"</formula1>
    </dataValidation>
  </dataValidations>
  <pageMargins left="0.75" right="0.75" top="1" bottom="1" header="0.5" footer="0.5"/>
  <pageSetup paperSize="9" orientation="landscape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G115"/>
  <sheetViews>
    <sheetView workbookViewId="0">
      <selection activeCell="R16" sqref="R16"/>
    </sheetView>
  </sheetViews>
  <sheetFormatPr baseColWidth="10" defaultColWidth="8.83203125" defaultRowHeight="12" x14ac:dyDescent="0"/>
  <cols>
    <col min="1" max="1" width="12.6640625" style="23" customWidth="1"/>
    <col min="2" max="2" width="9.5" customWidth="1"/>
  </cols>
  <sheetData>
    <row r="1" spans="1:5">
      <c r="A1" s="25" t="s">
        <v>195</v>
      </c>
      <c r="B1" s="7">
        <v>42649</v>
      </c>
      <c r="E1" t="s">
        <v>96</v>
      </c>
    </row>
    <row r="2" spans="1:5">
      <c r="A2" s="25"/>
      <c r="B2" s="7"/>
    </row>
    <row r="3" spans="1:5">
      <c r="A3" s="25" t="s">
        <v>195</v>
      </c>
      <c r="B3" s="7">
        <v>42649</v>
      </c>
    </row>
    <row r="4" spans="1:5">
      <c r="A4" s="25" t="s">
        <v>46</v>
      </c>
      <c r="B4" s="45" t="s">
        <v>194</v>
      </c>
    </row>
    <row r="5" spans="1:5">
      <c r="A5" s="25"/>
      <c r="B5" s="7"/>
    </row>
    <row r="6" spans="1:5">
      <c r="A6" s="25" t="s">
        <v>192</v>
      </c>
      <c r="B6" s="7">
        <v>42535</v>
      </c>
    </row>
    <row r="7" spans="1:5">
      <c r="A7" s="25" t="s">
        <v>46</v>
      </c>
      <c r="B7" s="45" t="s">
        <v>193</v>
      </c>
    </row>
    <row r="8" spans="1:5">
      <c r="A8" s="25"/>
      <c r="B8" s="7"/>
    </row>
    <row r="9" spans="1:5">
      <c r="A9" s="25" t="s">
        <v>190</v>
      </c>
      <c r="B9" s="7">
        <v>42495</v>
      </c>
    </row>
    <row r="10" spans="1:5">
      <c r="A10" s="25" t="s">
        <v>46</v>
      </c>
      <c r="B10" s="45" t="s">
        <v>191</v>
      </c>
    </row>
    <row r="11" spans="1:5">
      <c r="A11" s="25"/>
      <c r="B11" s="7"/>
    </row>
    <row r="12" spans="1:5">
      <c r="A12" s="25" t="s">
        <v>188</v>
      </c>
      <c r="B12" s="7">
        <v>42467</v>
      </c>
    </row>
    <row r="13" spans="1:5">
      <c r="A13" s="25" t="s">
        <v>46</v>
      </c>
      <c r="B13" s="45" t="s">
        <v>189</v>
      </c>
    </row>
    <row r="14" spans="1:5">
      <c r="A14" s="25"/>
      <c r="B14" s="7"/>
    </row>
    <row r="15" spans="1:5">
      <c r="A15" s="25" t="s">
        <v>186</v>
      </c>
      <c r="B15" s="7">
        <v>42444</v>
      </c>
    </row>
    <row r="16" spans="1:5">
      <c r="A16" s="25" t="s">
        <v>46</v>
      </c>
      <c r="B16" s="16" t="s">
        <v>187</v>
      </c>
    </row>
    <row r="17" spans="1:2">
      <c r="A17" s="25"/>
      <c r="B17" s="16"/>
    </row>
    <row r="18" spans="1:2" s="1" customFormat="1" ht="13.5" customHeight="1">
      <c r="A18" s="25" t="s">
        <v>183</v>
      </c>
      <c r="B18" s="7">
        <v>42426</v>
      </c>
    </row>
    <row r="19" spans="1:2" s="1" customFormat="1">
      <c r="A19" s="25" t="s">
        <v>46</v>
      </c>
      <c r="B19" s="16" t="s">
        <v>184</v>
      </c>
    </row>
    <row r="20" spans="1:2" s="1" customFormat="1">
      <c r="A20" s="25" t="s">
        <v>47</v>
      </c>
      <c r="B20" s="16" t="s">
        <v>185</v>
      </c>
    </row>
    <row r="21" spans="1:2" s="1" customFormat="1">
      <c r="A21" s="25"/>
      <c r="B21" s="16"/>
    </row>
    <row r="22" spans="1:2" s="1" customFormat="1" ht="13.5" customHeight="1">
      <c r="A22" s="25" t="s">
        <v>182</v>
      </c>
      <c r="B22" s="7">
        <v>42423</v>
      </c>
    </row>
    <row r="23" spans="1:2" s="1" customFormat="1">
      <c r="A23" s="25" t="s">
        <v>46</v>
      </c>
      <c r="B23" s="16" t="s">
        <v>175</v>
      </c>
    </row>
    <row r="24" spans="1:2" s="1" customFormat="1">
      <c r="A24" s="25" t="s">
        <v>47</v>
      </c>
      <c r="B24" s="16" t="s">
        <v>167</v>
      </c>
    </row>
    <row r="25" spans="1:2" s="1" customFormat="1">
      <c r="A25" s="25" t="s">
        <v>48</v>
      </c>
      <c r="B25" s="16" t="s">
        <v>173</v>
      </c>
    </row>
    <row r="26" spans="1:2" s="1" customFormat="1">
      <c r="A26" s="25" t="s">
        <v>165</v>
      </c>
      <c r="B26" s="16" t="s">
        <v>166</v>
      </c>
    </row>
    <row r="27" spans="1:2" s="1" customFormat="1">
      <c r="A27" s="25" t="s">
        <v>114</v>
      </c>
      <c r="B27" s="16" t="s">
        <v>170</v>
      </c>
    </row>
    <row r="28" spans="1:2" s="1" customFormat="1">
      <c r="A28" s="25" t="s">
        <v>171</v>
      </c>
      <c r="B28" s="16" t="s">
        <v>172</v>
      </c>
    </row>
    <row r="29" spans="1:2" s="1" customFormat="1">
      <c r="A29" s="25" t="s">
        <v>87</v>
      </c>
      <c r="B29" s="16" t="s">
        <v>174</v>
      </c>
    </row>
    <row r="30" spans="1:2" s="1" customFormat="1">
      <c r="A30" s="25" t="s">
        <v>89</v>
      </c>
      <c r="B30" s="16" t="s">
        <v>178</v>
      </c>
    </row>
    <row r="31" spans="1:2" s="1" customFormat="1">
      <c r="A31" s="25" t="s">
        <v>94</v>
      </c>
      <c r="B31" s="16" t="s">
        <v>181</v>
      </c>
    </row>
    <row r="32" spans="1:2" s="1" customFormat="1">
      <c r="A32" s="25"/>
      <c r="B32" s="16"/>
    </row>
    <row r="33" spans="1:2" s="1" customFormat="1" ht="13.5" customHeight="1">
      <c r="A33" s="25" t="s">
        <v>163</v>
      </c>
      <c r="B33" s="7">
        <v>42270</v>
      </c>
    </row>
    <row r="34" spans="1:2" s="1" customFormat="1">
      <c r="A34" s="25" t="s">
        <v>46</v>
      </c>
      <c r="B34" s="16" t="s">
        <v>164</v>
      </c>
    </row>
    <row r="35" spans="1:2" s="1" customFormat="1" ht="13.5" customHeight="1">
      <c r="A35" s="25"/>
    </row>
    <row r="36" spans="1:2" s="1" customFormat="1" ht="13.5" customHeight="1">
      <c r="A36" s="25" t="s">
        <v>161</v>
      </c>
      <c r="B36" s="7">
        <v>42185</v>
      </c>
    </row>
    <row r="37" spans="1:2" s="1" customFormat="1">
      <c r="A37" s="25" t="s">
        <v>46</v>
      </c>
      <c r="B37" s="16" t="s">
        <v>162</v>
      </c>
    </row>
    <row r="38" spans="1:2" s="1" customFormat="1" ht="13.5" customHeight="1">
      <c r="A38" s="25"/>
    </row>
    <row r="39" spans="1:2" s="1" customFormat="1" ht="13.5" customHeight="1">
      <c r="A39" s="25" t="s">
        <v>159</v>
      </c>
      <c r="B39" s="7">
        <v>42171</v>
      </c>
    </row>
    <row r="40" spans="1:2" s="1" customFormat="1">
      <c r="A40" s="25" t="s">
        <v>46</v>
      </c>
      <c r="B40" s="16" t="s">
        <v>160</v>
      </c>
    </row>
    <row r="41" spans="1:2" s="1" customFormat="1" ht="13.5" customHeight="1">
      <c r="A41" s="25"/>
    </row>
    <row r="42" spans="1:2" s="1" customFormat="1" ht="13.5" customHeight="1">
      <c r="A42" s="25" t="s">
        <v>157</v>
      </c>
      <c r="B42" s="7">
        <v>42159</v>
      </c>
    </row>
    <row r="43" spans="1:2" s="1" customFormat="1">
      <c r="A43" s="25" t="s">
        <v>46</v>
      </c>
      <c r="B43" s="16" t="s">
        <v>158</v>
      </c>
    </row>
    <row r="44" spans="1:2" s="1" customFormat="1" ht="13.5" customHeight="1">
      <c r="A44" s="25"/>
    </row>
    <row r="45" spans="1:2" s="1" customFormat="1">
      <c r="A45" s="25" t="s">
        <v>155</v>
      </c>
      <c r="B45" s="7">
        <v>42143</v>
      </c>
    </row>
    <row r="46" spans="1:2" s="1" customFormat="1">
      <c r="A46" s="25" t="s">
        <v>46</v>
      </c>
      <c r="B46" s="16" t="s">
        <v>156</v>
      </c>
    </row>
    <row r="47" spans="1:2" s="1" customFormat="1">
      <c r="A47" s="25"/>
      <c r="B47" s="16"/>
    </row>
    <row r="48" spans="1:2" s="1" customFormat="1">
      <c r="A48" s="25" t="s">
        <v>153</v>
      </c>
      <c r="B48" s="7">
        <v>42125</v>
      </c>
    </row>
    <row r="49" spans="1:2" s="1" customFormat="1">
      <c r="A49" s="25" t="s">
        <v>46</v>
      </c>
      <c r="B49" s="16" t="s">
        <v>154</v>
      </c>
    </row>
    <row r="50" spans="1:2" s="1" customFormat="1">
      <c r="A50" s="25"/>
    </row>
    <row r="51" spans="1:2" s="1" customFormat="1">
      <c r="A51" s="25" t="s">
        <v>148</v>
      </c>
      <c r="B51" s="7">
        <v>42121</v>
      </c>
    </row>
    <row r="52" spans="1:2" s="1" customFormat="1">
      <c r="A52" s="25" t="s">
        <v>46</v>
      </c>
      <c r="B52" s="16" t="s">
        <v>151</v>
      </c>
    </row>
    <row r="53" spans="1:2" s="1" customFormat="1">
      <c r="A53" s="25" t="s">
        <v>47</v>
      </c>
      <c r="B53" s="45" t="s">
        <v>152</v>
      </c>
    </row>
    <row r="54" spans="1:2" s="1" customFormat="1">
      <c r="A54" s="25"/>
      <c r="B54" s="45"/>
    </row>
    <row r="55" spans="1:2" s="1" customFormat="1">
      <c r="A55" s="25" t="s">
        <v>146</v>
      </c>
      <c r="B55" s="7">
        <v>42080</v>
      </c>
    </row>
    <row r="56" spans="1:2" s="1" customFormat="1">
      <c r="A56" s="25" t="s">
        <v>46</v>
      </c>
      <c r="B56" s="45" t="s">
        <v>147</v>
      </c>
    </row>
    <row r="57" spans="1:2" s="1" customFormat="1">
      <c r="A57" s="25"/>
      <c r="B57" s="45"/>
    </row>
    <row r="58" spans="1:2" s="1" customFormat="1">
      <c r="A58" s="25" t="s">
        <v>144</v>
      </c>
      <c r="B58" s="7">
        <v>42074</v>
      </c>
    </row>
    <row r="59" spans="1:2" s="1" customFormat="1">
      <c r="A59" s="25" t="s">
        <v>46</v>
      </c>
      <c r="B59" s="45" t="s">
        <v>145</v>
      </c>
    </row>
    <row r="60" spans="1:2" s="1" customFormat="1">
      <c r="A60" s="25"/>
      <c r="B60" s="45"/>
    </row>
    <row r="61" spans="1:2" s="1" customFormat="1">
      <c r="A61" s="25" t="s">
        <v>140</v>
      </c>
      <c r="B61" s="7">
        <v>42053</v>
      </c>
    </row>
    <row r="62" spans="1:2" s="1" customFormat="1">
      <c r="A62" s="25" t="s">
        <v>46</v>
      </c>
      <c r="B62" s="45" t="s">
        <v>143</v>
      </c>
    </row>
    <row r="63" spans="1:2" s="1" customFormat="1">
      <c r="A63" s="25" t="s">
        <v>47</v>
      </c>
      <c r="B63" s="45" t="s">
        <v>141</v>
      </c>
    </row>
    <row r="64" spans="1:2" s="1" customFormat="1">
      <c r="A64" s="25" t="s">
        <v>48</v>
      </c>
      <c r="B64" s="45" t="s">
        <v>142</v>
      </c>
    </row>
    <row r="65" spans="1:2" s="1" customFormat="1">
      <c r="A65" s="25"/>
      <c r="B65" s="45"/>
    </row>
    <row r="66" spans="1:2" s="1" customFormat="1">
      <c r="A66" s="25" t="s">
        <v>125</v>
      </c>
      <c r="B66" s="7">
        <v>42052</v>
      </c>
    </row>
    <row r="67" spans="1:2" s="1" customFormat="1">
      <c r="A67" s="25" t="s">
        <v>46</v>
      </c>
      <c r="B67" s="16" t="s">
        <v>126</v>
      </c>
    </row>
    <row r="68" spans="1:2" s="1" customFormat="1">
      <c r="A68" s="25" t="s">
        <v>127</v>
      </c>
      <c r="B68" s="16" t="s">
        <v>133</v>
      </c>
    </row>
    <row r="69" spans="1:2" s="1" customFormat="1">
      <c r="A69" s="25" t="s">
        <v>130</v>
      </c>
      <c r="B69" s="16" t="s">
        <v>129</v>
      </c>
    </row>
    <row r="70" spans="1:2" s="1" customFormat="1">
      <c r="A70" s="25" t="s">
        <v>49</v>
      </c>
      <c r="B70" s="16" t="s">
        <v>131</v>
      </c>
    </row>
    <row r="71" spans="1:2" s="1" customFormat="1">
      <c r="A71" s="25" t="s">
        <v>77</v>
      </c>
      <c r="B71" s="16" t="s">
        <v>132</v>
      </c>
    </row>
    <row r="72" spans="1:2" s="1" customFormat="1">
      <c r="A72" s="25" t="s">
        <v>116</v>
      </c>
      <c r="B72" s="16" t="s">
        <v>135</v>
      </c>
    </row>
    <row r="73" spans="1:2" s="1" customFormat="1">
      <c r="A73" s="25" t="s">
        <v>87</v>
      </c>
      <c r="B73" s="16" t="s">
        <v>137</v>
      </c>
    </row>
    <row r="74" spans="1:2" s="1" customFormat="1">
      <c r="A74" s="25" t="s">
        <v>89</v>
      </c>
      <c r="B74" s="16" t="s">
        <v>138</v>
      </c>
    </row>
    <row r="75" spans="1:2" s="1" customFormat="1">
      <c r="A75" s="25" t="s">
        <v>94</v>
      </c>
      <c r="B75" s="16" t="s">
        <v>139</v>
      </c>
    </row>
    <row r="76" spans="1:2" s="1" customFormat="1">
      <c r="A76" s="25"/>
      <c r="B76" s="16"/>
    </row>
    <row r="77" spans="1:2" s="1" customFormat="1">
      <c r="A77" s="25" t="s">
        <v>123</v>
      </c>
      <c r="B77" s="7">
        <v>42049</v>
      </c>
    </row>
    <row r="78" spans="1:2" s="1" customFormat="1">
      <c r="A78" s="25" t="s">
        <v>46</v>
      </c>
      <c r="B78" s="16" t="s">
        <v>124</v>
      </c>
    </row>
    <row r="79" spans="1:2" s="1" customFormat="1">
      <c r="A79" s="25"/>
    </row>
    <row r="80" spans="1:2" s="1" customFormat="1">
      <c r="A80" s="25" t="s">
        <v>120</v>
      </c>
      <c r="B80" s="7">
        <v>42048</v>
      </c>
    </row>
    <row r="81" spans="1:7" s="1" customFormat="1">
      <c r="A81" s="25" t="s">
        <v>46</v>
      </c>
      <c r="B81" s="16" t="s">
        <v>121</v>
      </c>
    </row>
    <row r="82" spans="1:7" s="1" customFormat="1">
      <c r="A82" s="25" t="s">
        <v>47</v>
      </c>
      <c r="B82" s="16" t="s">
        <v>122</v>
      </c>
    </row>
    <row r="83" spans="1:7" s="1" customFormat="1">
      <c r="A83" s="25"/>
    </row>
    <row r="84" spans="1:7" s="1" customFormat="1">
      <c r="A84" s="25" t="s">
        <v>111</v>
      </c>
      <c r="B84" s="7">
        <v>42048</v>
      </c>
    </row>
    <row r="85" spans="1:7">
      <c r="A85" s="39" t="s">
        <v>46</v>
      </c>
      <c r="B85" s="44" t="s">
        <v>112</v>
      </c>
      <c r="C85" s="2"/>
      <c r="D85" s="2"/>
      <c r="E85" s="2"/>
      <c r="F85" s="2"/>
      <c r="G85" s="2"/>
    </row>
    <row r="86" spans="1:7">
      <c r="A86" s="44" t="s">
        <v>47</v>
      </c>
      <c r="B86" s="44" t="s">
        <v>136</v>
      </c>
      <c r="C86" s="2"/>
      <c r="D86" s="2"/>
      <c r="E86" s="2"/>
      <c r="F86" s="2"/>
      <c r="G86" s="2"/>
    </row>
    <row r="87" spans="1:7">
      <c r="A87" s="44" t="s">
        <v>48</v>
      </c>
      <c r="B87" s="44" t="s">
        <v>115</v>
      </c>
      <c r="C87" s="2"/>
      <c r="D87" s="2"/>
      <c r="E87" s="2"/>
      <c r="F87" s="2"/>
      <c r="G87" s="2"/>
    </row>
    <row r="88" spans="1:7">
      <c r="A88" s="44" t="s">
        <v>49</v>
      </c>
      <c r="B88" s="44" t="s">
        <v>119</v>
      </c>
      <c r="C88" s="2"/>
      <c r="D88" s="2"/>
      <c r="E88" s="2"/>
      <c r="F88" s="2"/>
      <c r="G88" s="2"/>
    </row>
    <row r="89" spans="1:7">
      <c r="A89" s="44" t="s">
        <v>114</v>
      </c>
      <c r="B89" s="44" t="s">
        <v>113</v>
      </c>
      <c r="C89" s="2"/>
      <c r="D89" s="2"/>
      <c r="E89" s="2"/>
      <c r="F89" s="2"/>
      <c r="G89" s="2"/>
    </row>
    <row r="90" spans="1:7">
      <c r="A90" s="44" t="s">
        <v>116</v>
      </c>
      <c r="B90" s="44" t="s">
        <v>117</v>
      </c>
      <c r="C90" s="2"/>
      <c r="D90" s="2"/>
      <c r="E90" s="2"/>
      <c r="F90" s="2"/>
      <c r="G90" s="2"/>
    </row>
    <row r="91" spans="1:7">
      <c r="A91" s="44" t="s">
        <v>87</v>
      </c>
      <c r="B91" s="44" t="s">
        <v>118</v>
      </c>
      <c r="C91" s="2"/>
      <c r="D91" s="2"/>
      <c r="E91" s="2"/>
      <c r="F91" s="2"/>
      <c r="G91" s="2"/>
    </row>
    <row r="92" spans="1:7">
      <c r="A92" s="44"/>
      <c r="B92" s="44"/>
      <c r="C92" s="2"/>
      <c r="D92" s="2"/>
      <c r="E92" s="2"/>
      <c r="F92" s="2"/>
      <c r="G92" s="2"/>
    </row>
    <row r="93" spans="1:7" s="1" customFormat="1">
      <c r="A93" s="25" t="s">
        <v>104</v>
      </c>
      <c r="B93" s="7">
        <v>42046</v>
      </c>
    </row>
    <row r="94" spans="1:7">
      <c r="A94" s="39" t="s">
        <v>46</v>
      </c>
      <c r="B94" s="39" t="s">
        <v>106</v>
      </c>
      <c r="C94" s="2"/>
      <c r="D94" s="2"/>
      <c r="E94" s="2"/>
      <c r="F94" s="2"/>
      <c r="G94" s="2"/>
    </row>
    <row r="95" spans="1:7">
      <c r="A95" s="23" t="s">
        <v>47</v>
      </c>
      <c r="B95" s="39" t="s">
        <v>107</v>
      </c>
      <c r="C95" s="2"/>
      <c r="D95" s="2"/>
      <c r="E95" s="2"/>
      <c r="F95" s="2"/>
      <c r="G95" s="2"/>
    </row>
    <row r="96" spans="1:7">
      <c r="B96" s="23"/>
      <c r="C96" s="2"/>
      <c r="D96" s="2"/>
      <c r="E96" s="2"/>
      <c r="F96" s="2"/>
      <c r="G96" s="2"/>
    </row>
    <row r="97" spans="1:7" s="1" customFormat="1">
      <c r="A97" s="25" t="s">
        <v>102</v>
      </c>
      <c r="B97" s="7">
        <v>42039</v>
      </c>
    </row>
    <row r="98" spans="1:7">
      <c r="A98" s="23" t="s">
        <v>46</v>
      </c>
      <c r="B98" s="39" t="s">
        <v>103</v>
      </c>
      <c r="C98" s="2"/>
      <c r="D98" s="2"/>
      <c r="E98" s="2"/>
      <c r="F98" s="2"/>
      <c r="G98" s="2"/>
    </row>
    <row r="99" spans="1:7">
      <c r="B99" s="39"/>
      <c r="C99" s="2"/>
      <c r="D99" s="2"/>
      <c r="E99" s="2"/>
      <c r="F99" s="2"/>
      <c r="G99" s="2"/>
    </row>
    <row r="100" spans="1:7" s="1" customFormat="1">
      <c r="A100" s="25" t="s">
        <v>98</v>
      </c>
    </row>
    <row r="101" spans="1:7">
      <c r="A101" s="23" t="s">
        <v>46</v>
      </c>
      <c r="B101" s="39" t="s">
        <v>101</v>
      </c>
      <c r="C101" s="2"/>
      <c r="D101" s="2"/>
      <c r="E101" s="2"/>
      <c r="F101" s="2"/>
      <c r="G101" s="2"/>
    </row>
    <row r="102" spans="1:7">
      <c r="B102" s="23"/>
      <c r="C102" s="2"/>
      <c r="D102" s="2"/>
      <c r="E102" s="2"/>
      <c r="F102" s="2"/>
      <c r="G102" s="2"/>
    </row>
    <row r="103" spans="1:7">
      <c r="A103" s="25" t="s">
        <v>97</v>
      </c>
      <c r="B103" s="24"/>
      <c r="C103" s="2"/>
      <c r="D103" s="2"/>
      <c r="E103" s="2"/>
      <c r="F103" s="2"/>
      <c r="G103" s="2"/>
    </row>
    <row r="104" spans="1:7">
      <c r="A104" s="23" t="s">
        <v>46</v>
      </c>
      <c r="B104" s="23" t="s">
        <v>78</v>
      </c>
      <c r="C104" s="2"/>
      <c r="D104" s="2"/>
      <c r="E104" s="2"/>
      <c r="F104" s="2"/>
      <c r="G104" s="2"/>
    </row>
    <row r="105" spans="1:7">
      <c r="A105" s="23" t="s">
        <v>47</v>
      </c>
      <c r="B105" s="23" t="s">
        <v>79</v>
      </c>
      <c r="C105" s="2"/>
      <c r="D105" s="2"/>
      <c r="E105" s="2"/>
      <c r="F105" s="2"/>
      <c r="G105" s="2"/>
    </row>
    <row r="106" spans="1:7">
      <c r="A106" s="23" t="s">
        <v>48</v>
      </c>
      <c r="B106" t="s">
        <v>92</v>
      </c>
      <c r="C106" s="2"/>
      <c r="D106" s="2"/>
      <c r="E106" s="2"/>
      <c r="F106" s="2"/>
      <c r="G106" s="2"/>
    </row>
    <row r="107" spans="1:7">
      <c r="A107" s="23" t="s">
        <v>49</v>
      </c>
      <c r="B107" s="23" t="s">
        <v>86</v>
      </c>
    </row>
    <row r="108" spans="1:7">
      <c r="A108" s="23" t="s">
        <v>77</v>
      </c>
      <c r="B108" s="23" t="s">
        <v>83</v>
      </c>
    </row>
    <row r="109" spans="1:7">
      <c r="A109" s="23" t="s">
        <v>82</v>
      </c>
      <c r="B109" s="23" t="s">
        <v>81</v>
      </c>
    </row>
    <row r="110" spans="1:7">
      <c r="A110" s="23" t="s">
        <v>87</v>
      </c>
      <c r="B110" s="23" t="s">
        <v>88</v>
      </c>
    </row>
    <row r="111" spans="1:7">
      <c r="A111" s="23" t="s">
        <v>89</v>
      </c>
      <c r="B111" s="23" t="s">
        <v>80</v>
      </c>
    </row>
    <row r="112" spans="1:7">
      <c r="A112" s="23" t="s">
        <v>94</v>
      </c>
      <c r="B112" s="23" t="s">
        <v>95</v>
      </c>
    </row>
    <row r="113" spans="1:2">
      <c r="B113" s="23"/>
    </row>
    <row r="114" spans="1:2">
      <c r="B114" s="23"/>
    </row>
    <row r="115" spans="1:2">
      <c r="A115" s="25"/>
    </row>
  </sheetData>
  <phoneticPr fontId="0" type="noConversion"/>
  <pageMargins left="0.75" right="0.75" top="1" bottom="1" header="0.5" footer="0.5"/>
  <pageSetup paperSize="9" orientation="landscape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Analyser</vt:lpstr>
      <vt:lpstr>Settings</vt:lpstr>
      <vt:lpstr>Release Notes</vt:lpstr>
    </vt:vector>
  </TitlesOfParts>
  <Manager/>
  <Company>IBM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nmon Analyzer</dc:title>
  <dc:subject/>
  <dc:creator>Ron McCargar</dc:creator>
  <cp:keywords/>
  <dc:description>(C) Copyright IBM Corp. 2000, 2016 All Rights Reserved.</dc:description>
  <cp:lastModifiedBy>Ron McCargar</cp:lastModifiedBy>
  <cp:lastPrinted>2005-06-27T09:03:13Z</cp:lastPrinted>
  <dcterms:created xsi:type="dcterms:W3CDTF">2003-01-22T12:09:51Z</dcterms:created>
  <dcterms:modified xsi:type="dcterms:W3CDTF">2016-10-06T12:23:45Z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188568433</vt:i4>
  </property>
  <property fmtid="{D5CDD505-2E9C-101B-9397-08002B2CF9AE}" pid="3" name="_NewReviewCycle">
    <vt:lpwstr/>
  </property>
  <property fmtid="{D5CDD505-2E9C-101B-9397-08002B2CF9AE}" pid="4" name="_EmailSubject">
    <vt:lpwstr>nmon_analyzer 3.3g - 64bit and Excel2010 adjustments</vt:lpwstr>
  </property>
  <property fmtid="{D5CDD505-2E9C-101B-9397-08002B2CF9AE}" pid="5" name="_AuthorEmail">
    <vt:lpwstr>peter.pitterling@sap.com</vt:lpwstr>
  </property>
  <property fmtid="{D5CDD505-2E9C-101B-9397-08002B2CF9AE}" pid="6" name="_AuthorEmailDisplayName">
    <vt:lpwstr>Pitterling, Peter</vt:lpwstr>
  </property>
  <property fmtid="{D5CDD505-2E9C-101B-9397-08002B2CF9AE}" pid="7" name="_ReviewingToolsShownOnce">
    <vt:lpwstr/>
  </property>
</Properties>
</file>